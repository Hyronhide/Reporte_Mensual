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oshiba\Desktop\"/>
    </mc:Choice>
  </mc:AlternateContent>
  <bookViews>
    <workbookView xWindow="0" yWindow="0" windowWidth="21600" windowHeight="9735"/>
  </bookViews>
  <sheets>
    <sheet name="RMI - Septiembre - 2017" sheetId="2" r:id="rId1"/>
    <sheet name="Hoja1" sheetId="3" state="hidden" r:id="rId2"/>
  </sheets>
  <functionGroups builtInGroupCount="18"/>
  <definedNames>
    <definedName name="Actividad">Hoja1!$C$1:$C$2</definedName>
    <definedName name="ColorRef">'RMI - Septiembre - 2017'!$AE$11</definedName>
    <definedName name="Mes">'RMI - Septiembre - 2017'!$R$13:$W$17</definedName>
    <definedName name="Tipo">Hoja1!$A$1:$A$5</definedName>
    <definedName name="Tipo2">Hoja1!$A$1:$A$7</definedName>
  </definedNames>
  <calcPr calcId="152511"/>
  <fileRecoveryPr autoRecover="0"/>
</workbook>
</file>

<file path=xl/calcChain.xml><?xml version="1.0" encoding="utf-8"?>
<calcChain xmlns="http://schemas.openxmlformats.org/spreadsheetml/2006/main">
  <c r="AM13" i="2" l="1"/>
  <c r="AM18" i="2"/>
  <c r="AN18" i="2"/>
  <c r="AO18" i="2"/>
  <c r="AP18" i="2"/>
  <c r="AQ18" i="2"/>
  <c r="Q23" i="2"/>
  <c r="Q45" i="2"/>
  <c r="AR34" i="2"/>
  <c r="AQ34" i="2"/>
  <c r="AP34" i="2"/>
  <c r="AO34" i="2"/>
  <c r="AN34" i="2"/>
  <c r="AM34" i="2"/>
  <c r="AR40" i="2"/>
  <c r="AQ40" i="2"/>
  <c r="AP40" i="2"/>
  <c r="AO40" i="2"/>
  <c r="AN40" i="2"/>
  <c r="AM40" i="2"/>
  <c r="AR13" i="2"/>
  <c r="AQ13" i="2"/>
  <c r="AP13" i="2"/>
  <c r="AO13" i="2"/>
  <c r="AN13" i="2"/>
  <c r="Z6" i="2"/>
  <c r="Z5" i="2"/>
  <c r="Z7" i="2" s="1"/>
  <c r="P23" i="2"/>
  <c r="Q46" i="2" s="1"/>
  <c r="AO51" i="2"/>
  <c r="AO52" i="2"/>
  <c r="AO53" i="2"/>
  <c r="D15" i="3"/>
  <c r="AO58" i="2"/>
  <c r="AR28" i="2"/>
  <c r="AQ28" i="2"/>
  <c r="AP28" i="2"/>
  <c r="AO28" i="2"/>
  <c r="AN28" i="2"/>
  <c r="AM28" i="2"/>
  <c r="AR18" i="2"/>
  <c r="D14" i="3"/>
  <c r="D16" i="3" s="1"/>
  <c r="AO54" i="2"/>
  <c r="AH18" i="2"/>
  <c r="AF16" i="2"/>
  <c r="AH16" i="2"/>
  <c r="AJ16" i="2"/>
  <c r="AG20" i="2"/>
  <c r="AH22" i="2"/>
  <c r="AJ21" i="2"/>
  <c r="AJ13" i="2"/>
  <c r="AI22" i="2"/>
  <c r="AH19" i="2"/>
  <c r="AF21" i="2"/>
  <c r="AI20" i="2"/>
  <c r="AG21" i="2"/>
  <c r="AJ19" i="2"/>
  <c r="AH21" i="2"/>
  <c r="AJ18" i="2"/>
  <c r="AF14" i="2"/>
  <c r="AG16" i="2"/>
  <c r="AF15" i="2"/>
  <c r="AG22" i="2"/>
  <c r="AF20" i="2"/>
  <c r="AI13" i="2"/>
  <c r="AG14" i="2"/>
  <c r="AG13" i="2"/>
  <c r="AI19" i="2"/>
  <c r="AJ15" i="2"/>
  <c r="AI14" i="2"/>
  <c r="AI15" i="2"/>
  <c r="AK13" i="2"/>
  <c r="AH13" i="2"/>
  <c r="AH20" i="2"/>
  <c r="AF22" i="2"/>
  <c r="AJ14" i="2"/>
  <c r="AI18" i="2"/>
  <c r="AJ22" i="2"/>
  <c r="AK15" i="2"/>
  <c r="AG19" i="2"/>
  <c r="AG15" i="2"/>
  <c r="AF19" i="2"/>
  <c r="AI21" i="2"/>
  <c r="AH15" i="2"/>
  <c r="AI16" i="2"/>
  <c r="AJ20" i="2"/>
  <c r="AG18" i="2"/>
  <c r="AH14" i="2"/>
  <c r="AI39" i="2"/>
  <c r="AG34" i="2"/>
  <c r="AH29" i="2"/>
  <c r="AJ29" i="2"/>
  <c r="AI41" i="2"/>
  <c r="AH43" i="2"/>
  <c r="AI28" i="2"/>
  <c r="AK41" i="2"/>
  <c r="AH33" i="2"/>
  <c r="AJ30" i="2"/>
  <c r="AF36" i="2"/>
  <c r="AH31" i="2"/>
  <c r="AI35" i="2"/>
  <c r="AI31" i="2"/>
  <c r="AK14" i="2"/>
  <c r="AH44" i="2"/>
  <c r="AK43" i="2"/>
  <c r="AK18" i="2"/>
  <c r="AI29" i="2"/>
  <c r="AF34" i="2"/>
  <c r="AF37" i="2"/>
  <c r="AG41" i="2"/>
  <c r="AF28" i="2"/>
  <c r="AK20" i="2"/>
  <c r="AI34" i="2"/>
  <c r="AJ36" i="2"/>
  <c r="AF40" i="2"/>
  <c r="AJ42" i="2"/>
  <c r="AH40" i="2"/>
  <c r="AK30" i="2"/>
  <c r="AG29" i="2"/>
  <c r="AF18" i="2"/>
  <c r="AK34" i="2"/>
  <c r="AK29" i="2"/>
  <c r="AF44" i="2"/>
  <c r="AI43" i="2"/>
  <c r="AG36" i="2"/>
  <c r="AG37" i="2"/>
  <c r="AK28" i="2"/>
  <c r="AG33" i="2"/>
  <c r="AH37" i="2"/>
  <c r="AJ43" i="2"/>
  <c r="AI42" i="2"/>
  <c r="AI37" i="2"/>
  <c r="AF39" i="2"/>
  <c r="AF31" i="2"/>
  <c r="AJ35" i="2"/>
  <c r="AG31" i="2"/>
  <c r="AK35" i="2"/>
  <c r="AG28" i="2"/>
  <c r="AK37" i="2"/>
  <c r="AH39" i="2"/>
  <c r="AJ34" i="2"/>
  <c r="AJ33" i="2"/>
  <c r="AI40" i="2"/>
  <c r="AI33" i="2"/>
  <c r="AH30" i="2"/>
  <c r="AK21" i="2"/>
  <c r="AF35" i="2"/>
  <c r="AF29" i="2"/>
  <c r="AF33" i="2"/>
  <c r="AJ39" i="2"/>
  <c r="AK42" i="2"/>
  <c r="AH28" i="2"/>
  <c r="AJ41" i="2"/>
  <c r="AJ28" i="2"/>
  <c r="AF42" i="2"/>
  <c r="AH34" i="2"/>
  <c r="AH35" i="2"/>
  <c r="AG30" i="2"/>
  <c r="AG43" i="2"/>
  <c r="AK16" i="2"/>
  <c r="AK33" i="2"/>
  <c r="AJ40" i="2"/>
  <c r="AH42" i="2"/>
  <c r="AJ44" i="2"/>
  <c r="AH41" i="2"/>
  <c r="AG35" i="2"/>
  <c r="AJ31" i="2"/>
  <c r="AI36" i="2"/>
  <c r="AK19" i="2"/>
  <c r="AK39" i="2"/>
  <c r="AH36" i="2"/>
  <c r="AJ37" i="2"/>
  <c r="AI30" i="2"/>
  <c r="AK22" i="2"/>
  <c r="AG44" i="2"/>
  <c r="AG42" i="2"/>
  <c r="AK31" i="2"/>
  <c r="AF13" i="2"/>
  <c r="AK44" i="2"/>
  <c r="AF30" i="2"/>
  <c r="AF43" i="2"/>
  <c r="AG39" i="2"/>
  <c r="AK40" i="2"/>
  <c r="AI44" i="2"/>
  <c r="AF41" i="2"/>
  <c r="AG40" i="2"/>
  <c r="AK36" i="2"/>
  <c r="AR29" i="2" l="1"/>
  <c r="AR30" i="2" s="1"/>
  <c r="AO19" i="2"/>
  <c r="AO20" i="2" s="1"/>
  <c r="AP29" i="2"/>
  <c r="AP30" i="2" s="1"/>
  <c r="AM41" i="2"/>
  <c r="AM42" i="2" s="1"/>
  <c r="AP14" i="2"/>
  <c r="AP15" i="2" s="1"/>
  <c r="AR19" i="2"/>
  <c r="AR20" i="2" s="1"/>
  <c r="AN19" i="2"/>
  <c r="AN20" i="2" s="1"/>
  <c r="AQ35" i="2"/>
  <c r="AQ36" i="2" s="1"/>
  <c r="AR35" i="2"/>
  <c r="AR36" i="2" s="1"/>
  <c r="AQ41" i="2"/>
  <c r="AQ42" i="2" s="1"/>
  <c r="AQ19" i="2"/>
  <c r="AQ20" i="2" s="1"/>
  <c r="AM19" i="2"/>
  <c r="AM20" i="2" s="1"/>
  <c r="AR14" i="2"/>
  <c r="AR15" i="2" s="1"/>
  <c r="AN14" i="2"/>
  <c r="AN15" i="2" s="1"/>
  <c r="AP41" i="2"/>
  <c r="AP42" i="2" s="1"/>
  <c r="AP19" i="2"/>
  <c r="AP20" i="2" s="1"/>
  <c r="AQ14" i="2"/>
  <c r="AQ15" i="2" s="1"/>
  <c r="AO14" i="2"/>
  <c r="AO15" i="2" s="1"/>
  <c r="AN29" i="2"/>
  <c r="AN30" i="2" s="1"/>
  <c r="AM29" i="2"/>
  <c r="AM30" i="2" s="1"/>
  <c r="AO29" i="2"/>
  <c r="AO30" i="2" s="1"/>
  <c r="AQ29" i="2"/>
  <c r="AQ30" i="2" s="1"/>
  <c r="AN41" i="2"/>
  <c r="AN42" i="2" s="1"/>
  <c r="AR41" i="2"/>
  <c r="AR42" i="2" s="1"/>
  <c r="AO35" i="2"/>
  <c r="AO36" i="2" s="1"/>
  <c r="AO41" i="2"/>
  <c r="AO42" i="2" s="1"/>
  <c r="AM35" i="2"/>
  <c r="AM36" i="2" s="1"/>
  <c r="AP35" i="2"/>
  <c r="AP36" i="2" s="1"/>
  <c r="AN35" i="2"/>
  <c r="AN36" i="2" s="1"/>
  <c r="AM14" i="2"/>
  <c r="AM15" i="2" s="1"/>
  <c r="AO31" i="2" l="1"/>
  <c r="AO37" i="2"/>
  <c r="AE34" i="2" s="1"/>
  <c r="AO16" i="2"/>
  <c r="AE13" i="2" s="1"/>
  <c r="AO21" i="2"/>
  <c r="AE18" i="2" s="1"/>
  <c r="AO43" i="2"/>
  <c r="AE40" i="2" s="1"/>
  <c r="AE28" i="2" l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<sst xmlns="http://schemas.openxmlformats.org/spreadsheetml/2006/main" count="136" uniqueCount="79">
  <si>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</si>
  <si>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</si>
  <si>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</si>
  <si>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</si>
  <si>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</si>
  <si>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</si>
  <si>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</si>
  <si>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</si>
  <si>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</si>
  <si>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</si>
  <si>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</si>
  <si>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</si>
  <si>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</si>
  <si>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</si>
  <si>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</si>
  <si>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</si>
  <si>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</si>
  <si>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</si>
  <si>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</si>
  <si>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</si>
  <si>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</si>
  <si>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</si>
  <si>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</si>
  <si>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</si>
  <si>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</si>
  <si>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</si>
  <si>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</si>
  <si>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</si>
  <si>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</si>
  <si>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</si>
  <si>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</si>
  <si>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</si>
  <si>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</si>
  <si>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</si>
  <si>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</si>
  <si>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</si>
  <si>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</si>
  <si>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</si>
  <si>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</si>
  <si>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</si>
  <si>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</si>
  <si>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</si>
  <si>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</si>
  <si>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</si>
  <si>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</si>
  <si>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</si>
  <si>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</si>
  <si>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</si>
  <si>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</si>
  <si>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</si>
  <si>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</si>
  <si>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</si>
  <si>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</si>
  <si>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</si>
  <si>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</si>
  <si>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</si>
  <si>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</si>
  <si>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</si>
  <si>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</si>
  <si>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</si>
  <si>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</si>
  <si>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</si>
  <si>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</si>
  <si>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</si>
  <si>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</si>
  <si>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</si>
  <si>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</si>
  <si>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</si>
  <si>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</si>
  <si>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TODOS</t>
  </si>
  <si>
    <t>FABIO GONZALEZ SHIBLY</t>
  </si>
  <si>
    <t>cts.ingenieria@gmail.com</t>
  </si>
  <si>
    <t>OFIMATICA</t>
  </si>
  <si>
    <t>APLICAR HERRAMIENTAS OFIMATICAS, REDES SOCIALES Y COLABORATIVAS DE ACUERDO CON EL PROYECTO A DESARROLLAR</t>
  </si>
  <si>
    <t>CONOCER Y MANEJAR EL ENTORNO DE LA APLICACIÓN Y LAS OPERACIONES FUNDAMENTALES CON DOCUMENTOS</t>
  </si>
  <si>
    <t>DICIEMBRE</t>
  </si>
  <si>
    <t>INFORMATICA BASICA PARTE 1</t>
  </si>
  <si>
    <t>7:00AM</t>
  </si>
  <si>
    <t>3:00PM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</si>
</sst>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9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</fills>
  <borders count="1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28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32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33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0" fontId="1" fillId="9" borderId="49" xfId="0" applyFont="1" applyFill="1" applyBorder="1" applyAlignment="1">
      <alignment horizontal="center" vertical="center" wrapText="1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2" fillId="13" borderId="64" xfId="0" applyNumberFormat="1" applyFont="1" applyFill="1" applyBorder="1" applyAlignment="1">
      <alignment horizontal="center" vertical="center" wrapText="1"/>
    </xf>
    <xf numFmtId="2" fontId="2" fillId="13" borderId="65" xfId="0" applyNumberFormat="1" applyFont="1" applyFill="1" applyBorder="1" applyAlignment="1">
      <alignment horizontal="center" vertical="center" wrapText="1"/>
    </xf>
    <xf numFmtId="2" fontId="2" fillId="13" borderId="62" xfId="0" applyNumberFormat="1" applyFont="1" applyFill="1" applyBorder="1" applyAlignment="1">
      <alignment horizontal="center"/>
    </xf>
    <xf numFmtId="2" fontId="2" fillId="13" borderId="67" xfId="0" applyNumberFormat="1" applyFont="1" applyFill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5" xfId="0" applyNumberFormat="1" applyFont="1" applyBorder="1" applyAlignment="1">
      <alignment horizontal="center" vertical="center" wrapText="1"/>
    </xf>
    <xf numFmtId="2" fontId="1" fillId="0" borderId="36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5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2" fontId="1" fillId="6" borderId="55" xfId="0" applyNumberFormat="1" applyFont="1" applyFill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2" fontId="1" fillId="0" borderId="0" xfId="0" applyNumberFormat="1" applyFont="1"/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4" xfId="0" applyFont="1" applyBorder="1" applyAlignment="1">
      <alignment horizontal="center" vertical="center" wrapText="1"/>
    </xf>
    <xf numFmtId="0" fontId="2" fillId="15" borderId="0" xfId="0" applyFont="1" applyFill="1" applyBorder="1" applyAlignment="1">
      <alignment horizontal="right" vertical="center" wrapText="1"/>
    </xf>
    <xf numFmtId="0" fontId="2" fillId="12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2" borderId="0" xfId="0" applyFont="1" applyFill="1"/>
    <xf numFmtId="1" fontId="1" fillId="12" borderId="0" xfId="0" applyNumberFormat="1" applyFont="1" applyFill="1" applyAlignment="1">
      <alignment horizontal="center"/>
    </xf>
    <xf numFmtId="0" fontId="3" fillId="12" borderId="0" xfId="0" applyFont="1" applyFill="1" applyAlignment="1"/>
    <xf numFmtId="2" fontId="1" fillId="12" borderId="0" xfId="0" applyNumberFormat="1" applyFont="1" applyFill="1"/>
    <xf numFmtId="2" fontId="3" fillId="12" borderId="0" xfId="0" applyNumberFormat="1" applyFont="1" applyFill="1" applyAlignment="1"/>
    <xf numFmtId="0" fontId="1" fillId="0" borderId="37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6" borderId="40" xfId="0" applyFont="1" applyFill="1" applyBorder="1" applyAlignment="1">
      <alignment horizontal="center" vertical="center"/>
    </xf>
    <xf numFmtId="2" fontId="1" fillId="13" borderId="62" xfId="0" applyNumberFormat="1" applyFont="1" applyFill="1" applyBorder="1" applyAlignment="1">
      <alignment horizontal="center"/>
    </xf>
    <xf numFmtId="2" fontId="1" fillId="13" borderId="44" xfId="0" applyNumberFormat="1" applyFont="1" applyFill="1" applyBorder="1" applyAlignment="1">
      <alignment horizontal="center"/>
    </xf>
    <xf numFmtId="2" fontId="1" fillId="13" borderId="58" xfId="0" applyNumberFormat="1" applyFont="1" applyFill="1" applyBorder="1" applyAlignment="1">
      <alignment horizontal="center"/>
    </xf>
    <xf numFmtId="0" fontId="1" fillId="14" borderId="75" xfId="0" applyFont="1" applyFill="1" applyBorder="1"/>
    <xf numFmtId="0" fontId="3" fillId="0" borderId="0" xfId="0" applyFont="1" applyAlignment="1">
      <alignment horizontal="right"/>
    </xf>
    <xf numFmtId="0" fontId="2" fillId="12" borderId="11" xfId="0" applyFont="1" applyFill="1" applyBorder="1"/>
    <xf numFmtId="0" fontId="1" fillId="12" borderId="0" xfId="0" applyFont="1" applyFill="1" applyBorder="1" applyAlignment="1">
      <alignment horizontal="center" vertical="center" wrapText="1"/>
    </xf>
    <xf numFmtId="0" fontId="1" fillId="12" borderId="0" xfId="0" applyFont="1" applyFill="1" applyBorder="1" applyAlignment="1"/>
    <xf numFmtId="0" fontId="1" fillId="12" borderId="77" xfId="0" applyFont="1" applyFill="1" applyBorder="1" applyAlignment="1">
      <alignment horizontal="center" vertical="center" wrapText="1"/>
    </xf>
    <xf numFmtId="0" fontId="2" fillId="7" borderId="83" xfId="0" applyFont="1" applyFill="1" applyBorder="1" applyAlignment="1">
      <alignment horizontal="center" vertical="center"/>
    </xf>
    <xf numFmtId="0" fontId="2" fillId="7" borderId="84" xfId="0" applyFont="1" applyFill="1" applyBorder="1" applyAlignment="1">
      <alignment horizontal="center" vertical="center"/>
    </xf>
    <xf numFmtId="0" fontId="2" fillId="7" borderId="85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5" xfId="0" applyNumberFormat="1" applyFont="1" applyBorder="1" applyAlignment="1">
      <alignment horizontal="center" vertical="center" wrapText="1"/>
    </xf>
    <xf numFmtId="0" fontId="2" fillId="7" borderId="56" xfId="0" applyFont="1" applyFill="1" applyBorder="1" applyAlignment="1">
      <alignment horizontal="center" vertical="center"/>
    </xf>
    <xf numFmtId="0" fontId="1" fillId="14" borderId="91" xfId="0" applyFont="1" applyFill="1" applyBorder="1"/>
    <xf numFmtId="0" fontId="1" fillId="14" borderId="92" xfId="0" applyFont="1" applyFill="1" applyBorder="1"/>
    <xf numFmtId="0" fontId="1" fillId="14" borderId="86" xfId="0" applyFont="1" applyFill="1" applyBorder="1"/>
    <xf numFmtId="0" fontId="2" fillId="7" borderId="10" xfId="0" applyFont="1" applyFill="1" applyBorder="1" applyAlignment="1">
      <alignment horizontal="center" vertical="center"/>
    </xf>
    <xf numFmtId="1" fontId="3" fillId="0" borderId="53" xfId="0" applyNumberFormat="1" applyFont="1" applyBorder="1" applyAlignment="1">
      <alignment horizontal="center" vertical="center"/>
    </xf>
    <xf numFmtId="0" fontId="2" fillId="7" borderId="100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3" fillId="0" borderId="0" xfId="0" applyFont="1" applyFill="1" applyAlignment="1"/>
    <xf numFmtId="0" fontId="13" fillId="0" borderId="0" xfId="0" applyFont="1" applyAlignment="1"/>
    <xf numFmtId="0" fontId="14" fillId="0" borderId="96" xfId="0" applyFont="1" applyFill="1" applyBorder="1" applyAlignment="1">
      <alignment horizontal="right" vertical="center"/>
    </xf>
    <xf numFmtId="0" fontId="14" fillId="0" borderId="72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4" fillId="0" borderId="98" xfId="0" applyFont="1" applyBorder="1" applyAlignment="1">
      <alignment horizontal="right" vertical="center"/>
    </xf>
    <xf numFmtId="0" fontId="14" fillId="6" borderId="104" xfId="0" applyFont="1" applyFill="1" applyBorder="1" applyAlignment="1">
      <alignment horizontal="right" vertical="center"/>
    </xf>
    <xf numFmtId="0" fontId="11" fillId="0" borderId="76" xfId="0" applyFont="1" applyFill="1" applyBorder="1" applyAlignment="1">
      <alignment horizontal="center" vertical="center"/>
    </xf>
    <xf numFmtId="0" fontId="11" fillId="0" borderId="73" xfId="0" applyFont="1" applyBorder="1" applyAlignment="1">
      <alignment horizontal="center" vertical="center"/>
    </xf>
    <xf numFmtId="0" fontId="11" fillId="0" borderId="99" xfId="0" applyFont="1" applyBorder="1" applyAlignment="1">
      <alignment horizontal="center" vertical="center"/>
    </xf>
    <xf numFmtId="0" fontId="17" fillId="6" borderId="105" xfId="0" applyFont="1" applyFill="1" applyBorder="1" applyAlignment="1">
      <alignment horizontal="center" vertical="center"/>
    </xf>
    <xf numFmtId="0" fontId="2" fillId="10" borderId="104" xfId="0" applyFont="1" applyFill="1" applyBorder="1" applyAlignment="1">
      <alignment horizontal="center"/>
    </xf>
    <xf numFmtId="0" fontId="2" fillId="10" borderId="106" xfId="0" applyFont="1" applyFill="1" applyBorder="1" applyAlignment="1">
      <alignment horizontal="center"/>
    </xf>
    <xf numFmtId="0" fontId="2" fillId="10" borderId="105" xfId="0" applyFont="1" applyFill="1" applyBorder="1" applyAlignment="1">
      <alignment horizontal="center"/>
    </xf>
    <xf numFmtId="1" fontId="1" fillId="11" borderId="23" xfId="0" applyNumberFormat="1" applyFont="1" applyFill="1" applyBorder="1" applyAlignment="1">
      <alignment horizontal="center"/>
    </xf>
    <xf numFmtId="2" fontId="2" fillId="13" borderId="89" xfId="0" applyNumberFormat="1" applyFont="1" applyFill="1" applyBorder="1" applyAlignment="1">
      <alignment horizontal="center" vertical="center" wrapText="1"/>
    </xf>
    <xf numFmtId="2" fontId="2" fillId="13" borderId="44" xfId="0" applyNumberFormat="1" applyFont="1" applyFill="1" applyBorder="1" applyAlignment="1">
      <alignment horizontal="center"/>
    </xf>
    <xf numFmtId="0" fontId="1" fillId="0" borderId="60" xfId="0" applyFont="1" applyBorder="1" applyAlignment="1">
      <alignment horizontal="center" vertical="center" wrapText="1"/>
    </xf>
    <xf numFmtId="0" fontId="2" fillId="0" borderId="59" xfId="0" applyFont="1" applyBorder="1"/>
    <xf numFmtId="2" fontId="2" fillId="17" borderId="89" xfId="0" applyNumberFormat="1" applyFont="1" applyFill="1" applyBorder="1" applyAlignment="1">
      <alignment horizontal="center" vertical="center" wrapText="1"/>
    </xf>
    <xf numFmtId="2" fontId="2" fillId="17" borderId="64" xfId="0" applyNumberFormat="1" applyFont="1" applyFill="1" applyBorder="1" applyAlignment="1">
      <alignment horizontal="center" vertical="center" wrapText="1"/>
    </xf>
    <xf numFmtId="2" fontId="2" fillId="17" borderId="65" xfId="0" applyNumberFormat="1" applyFont="1" applyFill="1" applyBorder="1" applyAlignment="1">
      <alignment horizontal="center" vertical="center" wrapText="1"/>
    </xf>
    <xf numFmtId="2" fontId="2" fillId="17" borderId="44" xfId="0" applyNumberFormat="1" applyFont="1" applyFill="1" applyBorder="1" applyAlignment="1">
      <alignment horizontal="center"/>
    </xf>
    <xf numFmtId="2" fontId="2" fillId="17" borderId="67" xfId="0" applyNumberFormat="1" applyFont="1" applyFill="1" applyBorder="1" applyAlignment="1">
      <alignment horizontal="center"/>
    </xf>
    <xf numFmtId="0" fontId="1" fillId="18" borderId="91" xfId="0" applyFont="1" applyFill="1" applyBorder="1"/>
    <xf numFmtId="0" fontId="1" fillId="18" borderId="92" xfId="0" applyFont="1" applyFill="1" applyBorder="1"/>
    <xf numFmtId="0" fontId="1" fillId="18" borderId="75" xfId="0" applyFont="1" applyFill="1" applyBorder="1"/>
    <xf numFmtId="0" fontId="1" fillId="18" borderId="86" xfId="0" applyFont="1" applyFill="1" applyBorder="1"/>
    <xf numFmtId="2" fontId="2" fillId="0" borderId="101" xfId="0" applyNumberFormat="1" applyFont="1" applyBorder="1" applyAlignment="1">
      <alignment horizontal="center" vertical="center" wrapText="1"/>
    </xf>
    <xf numFmtId="2" fontId="2" fillId="0" borderId="102" xfId="0" applyNumberFormat="1" applyFont="1" applyBorder="1" applyAlignment="1">
      <alignment horizontal="center" vertical="center" wrapText="1"/>
    </xf>
    <xf numFmtId="2" fontId="2" fillId="0" borderId="103" xfId="0" applyNumberFormat="1" applyFont="1" applyBorder="1" applyAlignment="1">
      <alignment horizontal="center" vertical="center" wrapText="1"/>
    </xf>
    <xf numFmtId="2" fontId="2" fillId="0" borderId="31" xfId="0" applyNumberFormat="1" applyFont="1" applyBorder="1" applyAlignment="1">
      <alignment vertical="center" wrapText="1"/>
    </xf>
    <xf numFmtId="2" fontId="2" fillId="0" borderId="101" xfId="0" applyNumberFormat="1" applyFont="1" applyBorder="1" applyAlignment="1">
      <alignment vertical="center" wrapText="1"/>
    </xf>
    <xf numFmtId="2" fontId="2" fillId="0" borderId="102" xfId="0" applyNumberFormat="1" applyFont="1" applyBorder="1" applyAlignment="1">
      <alignment vertical="center" wrapText="1"/>
    </xf>
    <xf numFmtId="2" fontId="2" fillId="0" borderId="103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31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0" fontId="1" fillId="17" borderId="73" xfId="0" applyFont="1" applyFill="1" applyBorder="1" applyAlignment="1">
      <alignment vertical="top" wrapText="1"/>
    </xf>
    <xf numFmtId="0" fontId="1" fillId="13" borderId="73" xfId="0" applyFont="1" applyFill="1" applyBorder="1" applyAlignment="1">
      <alignment vertical="top" wrapText="1"/>
    </xf>
    <xf numFmtId="0" fontId="1" fillId="13" borderId="74" xfId="0" applyFont="1" applyFill="1" applyBorder="1" applyAlignment="1">
      <alignment vertical="top" wrapText="1"/>
    </xf>
    <xf numFmtId="0" fontId="1" fillId="0" borderId="50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51" xfId="0" applyFont="1" applyFill="1" applyBorder="1" applyAlignment="1">
      <alignment horizontal="center" vertical="center" wrapText="1"/>
    </xf>
    <xf numFmtId="0" fontId="1" fillId="0" borderId="32" xfId="0" applyFont="1" applyFill="1" applyBorder="1" applyAlignment="1">
      <alignment horizontal="center" vertical="center" wrapText="1"/>
    </xf>
    <xf numFmtId="0" fontId="1" fillId="18" borderId="53" xfId="0" applyFont="1" applyFill="1" applyBorder="1"/>
    <xf numFmtId="0" fontId="1" fillId="18" borderId="54" xfId="0" applyFont="1" applyFill="1" applyBorder="1"/>
    <xf numFmtId="0" fontId="1" fillId="14" borderId="53" xfId="0" applyFont="1" applyFill="1" applyBorder="1"/>
    <xf numFmtId="0" fontId="1" fillId="14" borderId="54" xfId="0" applyFont="1" applyFill="1" applyBorder="1"/>
    <xf numFmtId="2" fontId="1" fillId="0" borderId="66" xfId="0" applyNumberFormat="1" applyFont="1" applyBorder="1" applyAlignment="1">
      <alignment horizontal="center"/>
    </xf>
    <xf numFmtId="2" fontId="1" fillId="0" borderId="62" xfId="0" applyNumberFormat="1" applyFont="1" applyBorder="1" applyAlignment="1">
      <alignment horizontal="center"/>
    </xf>
    <xf numFmtId="2" fontId="1" fillId="0" borderId="109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72" xfId="0" applyFont="1" applyFill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18" fillId="0" borderId="72" xfId="0" applyFont="1" applyFill="1" applyBorder="1" applyAlignment="1">
      <alignment horizontal="center" vertical="center" wrapText="1"/>
    </xf>
    <xf numFmtId="0" fontId="2" fillId="0" borderId="108" xfId="0" applyFont="1" applyFill="1" applyBorder="1" applyAlignment="1">
      <alignment horizontal="center" vertical="center" wrapText="1"/>
    </xf>
    <xf numFmtId="0" fontId="2" fillId="0" borderId="97" xfId="0" applyFont="1" applyFill="1" applyBorder="1" applyAlignment="1">
      <alignment horizontal="center" vertical="center" wrapText="1"/>
    </xf>
    <xf numFmtId="0" fontId="2" fillId="0" borderId="20" xfId="0" applyFont="1" applyFill="1" applyBorder="1" applyAlignment="1">
      <alignment horizontal="center" vertical="center" wrapText="1"/>
    </xf>
    <xf numFmtId="0" fontId="1" fillId="17" borderId="99" xfId="0" applyFont="1" applyFill="1" applyBorder="1" applyAlignment="1">
      <alignment vertical="top" wrapText="1"/>
    </xf>
    <xf numFmtId="2" fontId="2" fillId="17" borderId="58" xfId="0" applyNumberFormat="1" applyFont="1" applyFill="1" applyBorder="1" applyAlignment="1">
      <alignment horizontal="center"/>
    </xf>
    <xf numFmtId="0" fontId="2" fillId="0" borderId="98" xfId="0" applyFont="1" applyFill="1" applyBorder="1" applyAlignment="1">
      <alignment horizontal="center" vertical="center" wrapText="1"/>
    </xf>
    <xf numFmtId="0" fontId="2" fillId="0" borderId="93" xfId="0" applyFont="1" applyFill="1" applyBorder="1" applyAlignment="1">
      <alignment horizontal="center" vertical="center" wrapText="1"/>
    </xf>
    <xf numFmtId="0" fontId="2" fillId="0" borderId="107" xfId="0" applyFont="1" applyFill="1" applyBorder="1" applyAlignment="1">
      <alignment horizontal="center" vertical="center" wrapText="1"/>
    </xf>
    <xf numFmtId="2" fontId="1" fillId="0" borderId="15" xfId="0" applyNumberFormat="1" applyFont="1" applyBorder="1" applyAlignment="1">
      <alignment horizontal="center"/>
    </xf>
    <xf numFmtId="0" fontId="18" fillId="0" borderId="17" xfId="0" applyFont="1" applyFill="1" applyBorder="1" applyAlignment="1">
      <alignment horizontal="center" vertical="center" wrapText="1"/>
    </xf>
    <xf numFmtId="0" fontId="2" fillId="0" borderId="73" xfId="0" applyFont="1" applyFill="1" applyBorder="1" applyAlignment="1">
      <alignment horizontal="center" vertical="center" wrapText="1"/>
    </xf>
    <xf numFmtId="2" fontId="1" fillId="0" borderId="57" xfId="0" applyNumberFormat="1" applyFont="1" applyBorder="1" applyAlignment="1">
      <alignment horizontal="center"/>
    </xf>
    <xf numFmtId="0" fontId="18" fillId="0" borderId="96" xfId="0" applyFont="1" applyFill="1" applyBorder="1" applyAlignment="1">
      <alignment horizontal="center" vertical="center" wrapText="1"/>
    </xf>
    <xf numFmtId="0" fontId="18" fillId="0" borderId="97" xfId="0" applyFont="1" applyFill="1" applyBorder="1" applyAlignment="1">
      <alignment horizontal="center" vertical="center" wrapText="1"/>
    </xf>
    <xf numFmtId="0" fontId="2" fillId="0" borderId="76" xfId="0" applyFont="1" applyFill="1" applyBorder="1" applyAlignment="1">
      <alignment horizontal="center" vertical="center" wrapText="1"/>
    </xf>
    <xf numFmtId="0" fontId="18" fillId="0" borderId="74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13" borderId="65" xfId="0" applyFont="1" applyFill="1" applyBorder="1" applyAlignment="1">
      <alignment vertical="top" wrapText="1"/>
    </xf>
    <xf numFmtId="0" fontId="1" fillId="17" borderId="76" xfId="0" applyFont="1" applyFill="1" applyBorder="1" applyAlignment="1">
      <alignment vertical="top" wrapText="1"/>
    </xf>
    <xf numFmtId="0" fontId="2" fillId="12" borderId="72" xfId="0" applyFont="1" applyFill="1" applyBorder="1" applyAlignment="1">
      <alignment horizontal="center" vertical="center" wrapText="1"/>
    </xf>
    <xf numFmtId="0" fontId="2" fillId="12" borderId="17" xfId="0" applyFont="1" applyFill="1" applyBorder="1" applyAlignment="1">
      <alignment horizontal="center" vertical="center" wrapText="1"/>
    </xf>
    <xf numFmtId="0" fontId="2" fillId="12" borderId="20" xfId="0" applyFont="1" applyFill="1" applyBorder="1" applyAlignment="1">
      <alignment horizontal="center" vertical="center" wrapText="1"/>
    </xf>
    <xf numFmtId="0" fontId="2" fillId="12" borderId="93" xfId="0" applyFont="1" applyFill="1" applyBorder="1" applyAlignment="1">
      <alignment horizontal="center" vertical="center" wrapText="1"/>
    </xf>
    <xf numFmtId="0" fontId="2" fillId="12" borderId="98" xfId="0" applyFont="1" applyFill="1" applyBorder="1" applyAlignment="1">
      <alignment horizontal="center" vertical="center" wrapText="1"/>
    </xf>
    <xf numFmtId="0" fontId="2" fillId="11" borderId="97" xfId="0" applyFont="1" applyFill="1" applyBorder="1" applyAlignment="1">
      <alignment horizontal="center" vertical="center" wrapText="1"/>
    </xf>
    <xf numFmtId="0" fontId="1" fillId="11" borderId="97" xfId="0" applyFont="1" applyFill="1" applyBorder="1" applyAlignment="1">
      <alignment horizontal="center" vertical="center" wrapText="1"/>
    </xf>
    <xf numFmtId="0" fontId="2" fillId="16" borderId="38" xfId="0" applyFont="1" applyFill="1" applyBorder="1" applyAlignment="1">
      <alignment horizontal="right" vertical="center" wrapText="1"/>
    </xf>
    <xf numFmtId="0" fontId="2" fillId="16" borderId="39" xfId="0" applyFont="1" applyFill="1" applyBorder="1" applyAlignment="1">
      <alignment horizontal="right" vertical="center" wrapText="1"/>
    </xf>
    <xf numFmtId="0" fontId="2" fillId="16" borderId="70" xfId="0" applyFont="1" applyFill="1" applyBorder="1" applyAlignment="1">
      <alignment horizontal="right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2" fillId="7" borderId="39" xfId="0" applyFont="1" applyFill="1" applyBorder="1" applyAlignment="1">
      <alignment horizontal="right" vertical="center" wrapText="1"/>
    </xf>
    <xf numFmtId="0" fontId="8" fillId="5" borderId="78" xfId="0" applyFont="1" applyFill="1" applyBorder="1" applyAlignment="1">
      <alignment horizontal="center" vertical="center"/>
    </xf>
    <xf numFmtId="0" fontId="8" fillId="5" borderId="79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8" fillId="5" borderId="80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/>
    </xf>
    <xf numFmtId="0" fontId="2" fillId="7" borderId="37" xfId="0" applyFont="1" applyFill="1" applyBorder="1" applyAlignment="1">
      <alignment horizontal="center" vertical="center"/>
    </xf>
    <xf numFmtId="0" fontId="2" fillId="7" borderId="69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1" fillId="6" borderId="82" xfId="0" applyFont="1" applyFill="1" applyBorder="1"/>
    <xf numFmtId="0" fontId="1" fillId="18" borderId="110" xfId="0" applyFont="1" applyFill="1" applyBorder="1" applyAlignment="1">
      <alignment horizontal="center" vertical="center" wrapText="1"/>
    </xf>
    <xf numFmtId="0" fontId="1" fillId="18" borderId="22" xfId="0" applyFont="1" applyFill="1" applyBorder="1" applyAlignment="1">
      <alignment horizontal="center" vertical="center" wrapText="1"/>
    </xf>
    <xf numFmtId="0" fontId="1" fillId="18" borderId="111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1" fillId="14" borderId="47" xfId="0" applyFont="1" applyFill="1" applyBorder="1" applyAlignment="1">
      <alignment horizontal="center" vertical="center" wrapText="1"/>
    </xf>
    <xf numFmtId="0" fontId="1" fillId="13" borderId="4" xfId="0" applyFont="1" applyFill="1" applyBorder="1"/>
    <xf numFmtId="0" fontId="1" fillId="13" borderId="48" xfId="0" applyFont="1" applyFill="1" applyBorder="1"/>
    <xf numFmtId="0" fontId="1" fillId="14" borderId="25" xfId="0" applyFont="1" applyFill="1" applyBorder="1" applyAlignment="1">
      <alignment horizontal="center" vertical="center" wrapText="1"/>
    </xf>
    <xf numFmtId="0" fontId="1" fillId="13" borderId="15" xfId="0" applyFont="1" applyFill="1" applyBorder="1"/>
    <xf numFmtId="0" fontId="1" fillId="13" borderId="31" xfId="0" applyFont="1" applyFill="1" applyBorder="1"/>
    <xf numFmtId="0" fontId="1" fillId="0" borderId="17" xfId="0" applyFont="1" applyBorder="1" applyAlignment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2" fillId="13" borderId="101" xfId="0" applyFont="1" applyFill="1" applyBorder="1" applyAlignment="1">
      <alignment horizontal="center" vertical="center" wrapText="1"/>
    </xf>
    <xf numFmtId="0" fontId="2" fillId="13" borderId="102" xfId="0" applyFont="1" applyFill="1" applyBorder="1" applyAlignment="1">
      <alignment horizontal="center" vertical="center" wrapText="1"/>
    </xf>
    <xf numFmtId="0" fontId="2" fillId="13" borderId="103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2" fillId="7" borderId="70" xfId="0" applyFont="1" applyFill="1" applyBorder="1" applyAlignment="1">
      <alignment horizontal="right" vertical="center" wrapText="1"/>
    </xf>
    <xf numFmtId="0" fontId="1" fillId="10" borderId="71" xfId="0" applyFont="1" applyFill="1" applyBorder="1" applyAlignment="1">
      <alignment horizontal="center"/>
    </xf>
    <xf numFmtId="0" fontId="1" fillId="10" borderId="90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13" borderId="24" xfId="0" applyFont="1" applyFill="1" applyBorder="1" applyAlignment="1">
      <alignment horizontal="center" vertical="center" wrapText="1"/>
    </xf>
    <xf numFmtId="0" fontId="2" fillId="13" borderId="28" xfId="0" applyFont="1" applyFill="1" applyBorder="1" applyAlignment="1">
      <alignment horizontal="center" vertical="center" wrapText="1"/>
    </xf>
    <xf numFmtId="0" fontId="2" fillId="13" borderId="30" xfId="0" applyFont="1" applyFill="1" applyBorder="1" applyAlignment="1">
      <alignment horizontal="center" vertical="center" wrapText="1"/>
    </xf>
    <xf numFmtId="0" fontId="2" fillId="13" borderId="25" xfId="0" applyFont="1" applyFill="1" applyBorder="1" applyAlignment="1">
      <alignment horizontal="center" vertical="center" wrapText="1"/>
    </xf>
    <xf numFmtId="0" fontId="2" fillId="17" borderId="24" xfId="0" applyFont="1" applyFill="1" applyBorder="1" applyAlignment="1">
      <alignment horizontal="center" vertical="center" wrapText="1"/>
    </xf>
    <xf numFmtId="0" fontId="2" fillId="17" borderId="28" xfId="0" applyFont="1" applyFill="1" applyBorder="1" applyAlignment="1">
      <alignment horizontal="center" vertical="center" wrapText="1"/>
    </xf>
    <xf numFmtId="0" fontId="2" fillId="17" borderId="30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1" fillId="6" borderId="31" xfId="0" applyFont="1" applyFill="1" applyBorder="1"/>
    <xf numFmtId="0" fontId="1" fillId="14" borderId="15" xfId="0" applyFont="1" applyFill="1" applyBorder="1" applyAlignment="1">
      <alignment horizontal="center" vertical="center" wrapText="1"/>
    </xf>
    <xf numFmtId="0" fontId="1" fillId="14" borderId="31" xfId="0" applyFont="1" applyFill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 wrapText="1"/>
    </xf>
    <xf numFmtId="0" fontId="1" fillId="6" borderId="37" xfId="0" applyFont="1" applyFill="1" applyBorder="1"/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1" fillId="18" borderId="25" xfId="0" applyFont="1" applyFill="1" applyBorder="1" applyAlignment="1">
      <alignment horizontal="center" vertical="center" wrapText="1"/>
    </xf>
    <xf numFmtId="0" fontId="1" fillId="18" borderId="15" xfId="0" applyFont="1" applyFill="1" applyBorder="1" applyAlignment="1">
      <alignment horizontal="center" vertical="center" wrapText="1"/>
    </xf>
    <xf numFmtId="0" fontId="1" fillId="18" borderId="31" xfId="0" applyFont="1" applyFill="1" applyBorder="1" applyAlignment="1">
      <alignment horizontal="center" vertical="center" wrapText="1"/>
    </xf>
    <xf numFmtId="0" fontId="2" fillId="17" borderId="25" xfId="0" applyFont="1" applyFill="1" applyBorder="1" applyAlignment="1">
      <alignment horizontal="center" vertical="center" wrapText="1"/>
    </xf>
    <xf numFmtId="0" fontId="2" fillId="17" borderId="15" xfId="0" applyFont="1" applyFill="1" applyBorder="1" applyAlignment="1">
      <alignment horizontal="center" vertical="center" wrapText="1"/>
    </xf>
    <xf numFmtId="0" fontId="2" fillId="17" borderId="31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1" fontId="1" fillId="0" borderId="95" xfId="0" applyNumberFormat="1" applyFont="1" applyBorder="1" applyAlignment="1">
      <alignment horizontal="center" vertical="center"/>
    </xf>
    <xf numFmtId="1" fontId="1" fillId="0" borderId="94" xfId="0" applyNumberFormat="1" applyFont="1" applyBorder="1" applyAlignment="1">
      <alignment horizontal="center" vertical="center"/>
    </xf>
    <xf numFmtId="1" fontId="1" fillId="0" borderId="52" xfId="0" applyNumberFormat="1" applyFont="1" applyBorder="1" applyAlignment="1">
      <alignment horizontal="center" vertical="center"/>
    </xf>
    <xf numFmtId="0" fontId="0" fillId="17" borderId="63" xfId="0" applyFont="1" applyFill="1" applyBorder="1" applyAlignment="1">
      <alignment horizontal="center" vertical="center"/>
    </xf>
    <xf numFmtId="0" fontId="0" fillId="17" borderId="66" xfId="0" applyFont="1" applyFill="1" applyBorder="1" applyAlignment="1">
      <alignment horizontal="center" vertical="center"/>
    </xf>
    <xf numFmtId="0" fontId="1" fillId="18" borderId="64" xfId="0" applyFont="1" applyFill="1" applyBorder="1" applyAlignment="1">
      <alignment horizontal="center" vertical="center"/>
    </xf>
    <xf numFmtId="0" fontId="1" fillId="18" borderId="62" xfId="0" applyFont="1" applyFill="1" applyBorder="1" applyAlignment="1">
      <alignment horizontal="center" vertical="center"/>
    </xf>
    <xf numFmtId="0" fontId="1" fillId="18" borderId="65" xfId="0" applyFont="1" applyFill="1" applyBorder="1" applyAlignment="1">
      <alignment horizontal="center" vertical="center"/>
    </xf>
    <xf numFmtId="0" fontId="1" fillId="18" borderId="67" xfId="0" applyFont="1" applyFill="1" applyBorder="1" applyAlignment="1">
      <alignment horizontal="center" vertical="center"/>
    </xf>
    <xf numFmtId="0" fontId="0" fillId="0" borderId="63" xfId="0" applyFont="1" applyBorder="1" applyAlignment="1">
      <alignment horizontal="center" vertical="center"/>
    </xf>
    <xf numFmtId="0" fontId="0" fillId="0" borderId="66" xfId="0" applyFont="1" applyBorder="1" applyAlignment="1">
      <alignment horizontal="center" vertical="center"/>
    </xf>
    <xf numFmtId="0" fontId="0" fillId="0" borderId="68" xfId="0" applyFont="1" applyBorder="1" applyAlignment="1">
      <alignment horizontal="center" vertical="center"/>
    </xf>
    <xf numFmtId="0" fontId="2" fillId="15" borderId="55" xfId="0" applyFont="1" applyFill="1" applyBorder="1" applyAlignment="1">
      <alignment horizontal="center" vertical="center" wrapText="1"/>
    </xf>
    <xf numFmtId="0" fontId="2" fillId="15" borderId="37" xfId="0" applyFont="1" applyFill="1" applyBorder="1" applyAlignment="1">
      <alignment horizontal="center" vertical="center" wrapText="1"/>
    </xf>
    <xf numFmtId="0" fontId="2" fillId="15" borderId="56" xfId="0" applyFont="1" applyFill="1" applyBorder="1" applyAlignment="1">
      <alignment horizontal="center" vertical="center" wrapText="1"/>
    </xf>
    <xf numFmtId="0" fontId="2" fillId="15" borderId="57" xfId="0" applyFont="1" applyFill="1" applyBorder="1" applyAlignment="1">
      <alignment horizontal="center" vertical="center" wrapText="1"/>
    </xf>
    <xf numFmtId="0" fontId="2" fillId="15" borderId="0" xfId="0" applyFont="1" applyFill="1" applyBorder="1" applyAlignment="1">
      <alignment horizontal="center" vertical="center" wrapText="1"/>
    </xf>
    <xf numFmtId="0" fontId="2" fillId="15" borderId="58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0" fontId="2" fillId="7" borderId="56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7" borderId="61" xfId="0" applyFont="1" applyFill="1" applyBorder="1" applyAlignment="1">
      <alignment horizontal="center" vertical="center" wrapText="1"/>
    </xf>
    <xf numFmtId="0" fontId="2" fillId="7" borderId="81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82" xfId="0" applyFont="1" applyFill="1" applyBorder="1" applyAlignment="1">
      <alignment horizontal="center" vertical="center" wrapText="1"/>
    </xf>
    <xf numFmtId="0" fontId="2" fillId="7" borderId="60" xfId="0" applyFont="1" applyFill="1" applyBorder="1" applyAlignment="1">
      <alignment horizontal="center" vertical="center" wrapText="1"/>
    </xf>
    <xf numFmtId="0" fontId="2" fillId="15" borderId="95" xfId="0" applyFont="1" applyFill="1" applyBorder="1" applyAlignment="1">
      <alignment horizontal="center" vertical="center" wrapText="1"/>
    </xf>
    <xf numFmtId="0" fontId="2" fillId="15" borderId="94" xfId="0" applyFont="1" applyFill="1" applyBorder="1" applyAlignment="1">
      <alignment horizontal="center" vertical="center" wrapText="1"/>
    </xf>
    <xf numFmtId="0" fontId="2" fillId="15" borderId="52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0" fontId="1" fillId="6" borderId="31" xfId="0" applyFont="1" applyFill="1" applyBorder="1" applyAlignment="1">
      <alignment horizontal="center"/>
    </xf>
    <xf numFmtId="0" fontId="1" fillId="6" borderId="60" xfId="0" applyFont="1" applyFill="1" applyBorder="1"/>
    <xf numFmtId="0" fontId="17" fillId="10" borderId="38" xfId="0" applyFont="1" applyFill="1" applyBorder="1" applyAlignment="1">
      <alignment horizontal="center" vertical="center"/>
    </xf>
    <xf numFmtId="0" fontId="17" fillId="10" borderId="7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8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88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2" fillId="7" borderId="96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0" fontId="2" fillId="7" borderId="76" xfId="0" applyFont="1" applyFill="1" applyBorder="1" applyAlignment="1">
      <alignment horizontal="center" vertical="center"/>
    </xf>
    <xf numFmtId="0" fontId="2" fillId="7" borderId="98" xfId="0" applyFont="1" applyFill="1" applyBorder="1" applyAlignment="1">
      <alignment horizontal="center" vertical="center"/>
    </xf>
    <xf numFmtId="0" fontId="2" fillId="7" borderId="93" xfId="0" applyFont="1" applyFill="1" applyBorder="1" applyAlignment="1">
      <alignment horizontal="center" vertical="center"/>
    </xf>
    <xf numFmtId="0" fontId="2" fillId="7" borderId="99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17" borderId="101" xfId="0" applyFont="1" applyFill="1" applyBorder="1" applyAlignment="1">
      <alignment horizontal="center" vertical="center" wrapText="1"/>
    </xf>
    <xf numFmtId="0" fontId="2" fillId="17" borderId="102" xfId="0" applyFont="1" applyFill="1" applyBorder="1" applyAlignment="1">
      <alignment horizontal="center" vertical="center" wrapText="1"/>
    </xf>
    <xf numFmtId="0" fontId="2" fillId="17" borderId="103" xfId="0" applyFont="1" applyFill="1" applyBorder="1" applyAlignment="1">
      <alignment horizontal="center" vertical="center" wrapText="1"/>
    </xf>
    <xf numFmtId="0" fontId="1" fillId="12" borderId="72" xfId="0" applyFont="1" applyFill="1" applyBorder="1" applyAlignment="1">
      <alignment horizontal="center" vertical="center" wrapText="1"/>
    </xf>
    <xf numFmtId="0" fontId="1" fillId="12" borderId="17" xfId="0" applyFont="1" applyFill="1" applyBorder="1" applyAlignment="1">
      <alignment horizontal="center" vertical="center" wrapText="1"/>
    </xf>
    <xf numFmtId="0" fontId="1" fillId="12" borderId="20" xfId="0" applyFont="1" applyFill="1" applyBorder="1" applyAlignment="1">
      <alignment horizontal="center" vertical="center" wrapText="1"/>
    </xf>
    <xf numFmtId="0" fontId="2" fillId="12" borderId="96" xfId="0" applyFont="1" applyFill="1" applyBorder="1" applyAlignment="1">
      <alignment horizontal="center" vertical="center" wrapText="1"/>
    </xf>
    <xf numFmtId="0" fontId="2" fillId="12" borderId="97" xfId="0" applyFont="1" applyFill="1" applyBorder="1" applyAlignment="1">
      <alignment horizontal="center" vertical="center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52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="" xmlns:a16="http://schemas.microsoft.com/office/drawing/2014/main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ts.ingenieria@gmail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04"/>
  <sheetViews>
    <sheetView showGridLines="0" tabSelected="1" topLeftCell="A10" zoomScale="76" zoomScaleNormal="76" workbookViewId="0">
      <selection activeCell="N13" sqref="N13:N17"/>
    </sheetView>
  </sheetViews>
  <sheetFormatPr baseColWidth="10" defaultColWidth="17.28515625" defaultRowHeight="15" customHeight="1" x14ac:dyDescent="0.2"/>
  <cols>
    <col min="1" max="1" width="11.42578125" style="3" customWidth="1"/>
    <col min="2" max="3" width="22.5703125" style="3" customWidth="1"/>
    <col min="4" max="4" width="14.5703125" style="3" customWidth="1"/>
    <col min="5" max="5" width="22" style="3" customWidth="1"/>
    <col min="6" max="6" width="25.28515625" style="3" customWidth="1"/>
    <col min="7" max="13" width="10" style="3" customWidth="1"/>
    <col min="14" max="14" width="19.5703125" style="3" customWidth="1"/>
    <col min="15" max="15" width="14.140625" style="3" customWidth="1"/>
    <col min="16" max="16" width="15.140625" style="3" customWidth="1"/>
    <col min="17" max="17" width="11.5703125" style="3" customWidth="1"/>
    <col min="18" max="23" width="10" style="3" customWidth="1"/>
    <col min="24" max="24" width="35.85546875" style="3" bestFit="1" customWidth="1"/>
    <col min="25" max="25" width="31" style="3" customWidth="1"/>
    <col min="26" max="26" width="10.28515625" style="3" customWidth="1"/>
    <col min="27" max="27" width="6.28515625" style="3" customWidth="1"/>
    <col min="28" max="28" width="6.5703125" style="3" customWidth="1"/>
    <col min="29" max="29" width="4.7109375" style="3" customWidth="1"/>
    <col min="30" max="30" width="7.140625" style="3" customWidth="1"/>
    <col min="31" max="31" width="9.5703125" style="67" customWidth="1"/>
    <col min="32" max="32" width="1.140625" style="3" hidden="1" customWidth="1"/>
    <col min="33" max="38" width="5.42578125" style="3" hidden="1" customWidth="1"/>
    <col min="39" max="44" width="5.42578125" style="27" hidden="1" customWidth="1"/>
    <col min="45" max="45" width="10.85546875" style="3" customWidth="1"/>
    <col min="46" max="55" width="17.28515625" style="3" customWidth="1"/>
    <col min="56" max="16384" width="17.28515625" style="3"/>
  </cols>
  <sheetData>
    <row r="1" spans="1:44" ht="15" customHeight="1" thickBot="1" x14ac:dyDescent="0.25"/>
    <row r="2" spans="1:44" ht="38.25" customHeight="1" thickBot="1" x14ac:dyDescent="0.25">
      <c r="A2" s="318" t="s">
        <v>0</v>
      </c>
      <c r="B2" s="218"/>
      <c r="C2" s="218"/>
      <c r="D2" s="220" t="s">
        <v>45</v>
      </c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4"/>
      <c r="Y2" s="301" t="s">
        <v>67</v>
      </c>
      <c r="Z2" s="302"/>
      <c r="AA2" s="4"/>
      <c r="AB2" s="4"/>
      <c r="AC2" s="4"/>
      <c r="AD2" s="4"/>
      <c r="AE2" s="25"/>
      <c r="AF2" s="4"/>
      <c r="AG2" s="4"/>
      <c r="AH2" s="4"/>
      <c r="AI2" s="4"/>
      <c r="AM2" s="26"/>
      <c r="AN2" s="26"/>
      <c r="AO2" s="26"/>
      <c r="AP2" s="26"/>
    </row>
    <row r="3" spans="1:44" ht="24" customHeight="1" x14ac:dyDescent="0.2">
      <c r="A3" s="319"/>
      <c r="B3" s="218"/>
      <c r="C3" s="218"/>
      <c r="D3" s="217" t="s">
        <v>55</v>
      </c>
      <c r="E3" s="217"/>
      <c r="F3" s="217"/>
      <c r="G3" s="217" t="s">
        <v>27</v>
      </c>
      <c r="H3" s="217"/>
      <c r="I3" s="217"/>
      <c r="J3" s="217"/>
      <c r="K3" s="217"/>
      <c r="L3" s="217"/>
      <c r="M3" s="217"/>
      <c r="N3" s="217" t="s">
        <v>28</v>
      </c>
      <c r="O3" s="217"/>
      <c r="P3" s="217"/>
      <c r="Q3" s="217"/>
      <c r="R3" s="217"/>
      <c r="S3" s="217"/>
      <c r="T3" s="217"/>
      <c r="U3" s="217"/>
      <c r="V3" s="217" t="s">
        <v>30</v>
      </c>
      <c r="W3" s="217"/>
      <c r="X3" s="4"/>
      <c r="Y3" s="97" t="s">
        <v>61</v>
      </c>
      <c r="Z3" s="103">
        <v>21</v>
      </c>
      <c r="AA3" s="4"/>
      <c r="AB3" s="4"/>
      <c r="AC3" s="4"/>
      <c r="AD3" s="4"/>
      <c r="AE3" s="25"/>
      <c r="AF3" s="4"/>
      <c r="AG3" s="4"/>
      <c r="AH3" s="4"/>
      <c r="AI3" s="4"/>
      <c r="AM3" s="26"/>
      <c r="AN3" s="26"/>
      <c r="AO3" s="26"/>
      <c r="AP3" s="26"/>
    </row>
    <row r="4" spans="1:44" ht="24" customHeight="1" x14ac:dyDescent="0.2">
      <c r="A4" s="319"/>
      <c r="B4" s="218"/>
      <c r="C4" s="218"/>
      <c r="D4" s="303" t="s">
        <v>75</v>
      </c>
      <c r="E4" s="304"/>
      <c r="F4" s="305"/>
      <c r="G4" s="216" t="s">
        <v>70</v>
      </c>
      <c r="H4" s="216"/>
      <c r="I4" s="216"/>
      <c r="J4" s="216"/>
      <c r="K4" s="216"/>
      <c r="L4" s="216"/>
      <c r="M4" s="216"/>
      <c r="N4" s="248" t="s">
        <v>71</v>
      </c>
      <c r="O4" s="249"/>
      <c r="P4" s="249"/>
      <c r="Q4" s="249"/>
      <c r="R4" s="249"/>
      <c r="S4" s="249"/>
      <c r="T4" s="249"/>
      <c r="U4" s="250"/>
      <c r="V4" s="260">
        <v>43081</v>
      </c>
      <c r="W4" s="261"/>
      <c r="X4" s="4"/>
      <c r="Y4" s="98" t="s">
        <v>60</v>
      </c>
      <c r="Z4" s="104">
        <v>6.4</v>
      </c>
      <c r="AA4" s="4"/>
      <c r="AB4" s="4"/>
      <c r="AC4" s="4"/>
      <c r="AD4" s="4"/>
      <c r="AE4" s="25"/>
      <c r="AF4" s="4" t="s">
        <v>65</v>
      </c>
      <c r="AG4" s="4">
        <v>8</v>
      </c>
      <c r="AH4" s="4"/>
      <c r="AI4" s="4"/>
      <c r="AM4" s="26"/>
      <c r="AN4" s="26"/>
      <c r="AO4" s="26"/>
      <c r="AP4" s="26"/>
    </row>
    <row r="5" spans="1:44" ht="18.75" customHeight="1" x14ac:dyDescent="0.2">
      <c r="A5" s="319"/>
      <c r="B5" s="219" t="s">
        <v>26</v>
      </c>
      <c r="C5" s="219"/>
      <c r="D5" s="306"/>
      <c r="E5" s="307"/>
      <c r="F5" s="308"/>
      <c r="G5" s="217" t="s">
        <v>1</v>
      </c>
      <c r="H5" s="217"/>
      <c r="I5" s="217"/>
      <c r="J5" s="217"/>
      <c r="K5" s="217"/>
      <c r="L5" s="217"/>
      <c r="M5" s="217"/>
      <c r="N5" s="251" t="s">
        <v>29</v>
      </c>
      <c r="O5" s="251"/>
      <c r="P5" s="251"/>
      <c r="Q5" s="251"/>
      <c r="R5" s="251"/>
      <c r="S5" s="251"/>
      <c r="T5" s="251"/>
      <c r="U5" s="251"/>
      <c r="V5" s="262"/>
      <c r="W5" s="263"/>
      <c r="X5" s="4"/>
      <c r="Y5" s="98" t="s">
        <v>62</v>
      </c>
      <c r="Z5" s="104">
        <f>Z4*Z3</f>
        <v>134.4</v>
      </c>
      <c r="AA5" s="4"/>
      <c r="AB5" s="4"/>
      <c r="AC5" s="4"/>
      <c r="AD5" s="4"/>
      <c r="AE5" s="25"/>
      <c r="AF5" s="4" t="s">
        <v>66</v>
      </c>
      <c r="AG5" s="4">
        <v>6.4</v>
      </c>
      <c r="AH5" s="4"/>
      <c r="AI5" s="4"/>
      <c r="AM5" s="26"/>
      <c r="AN5" s="26"/>
      <c r="AO5" s="26"/>
      <c r="AP5" s="26"/>
    </row>
    <row r="6" spans="1:44" ht="22.5" customHeight="1" thickBot="1" x14ac:dyDescent="0.25">
      <c r="A6" s="319"/>
      <c r="B6" s="219"/>
      <c r="C6" s="219"/>
      <c r="D6" s="306"/>
      <c r="E6" s="307"/>
      <c r="F6" s="308"/>
      <c r="G6" s="216">
        <v>76311174</v>
      </c>
      <c r="H6" s="216"/>
      <c r="I6" s="216"/>
      <c r="J6" s="216"/>
      <c r="K6" s="216"/>
      <c r="L6" s="216"/>
      <c r="M6" s="216"/>
      <c r="N6" s="216">
        <v>3113801443</v>
      </c>
      <c r="O6" s="216"/>
      <c r="P6" s="216"/>
      <c r="Q6" s="216"/>
      <c r="R6" s="216"/>
      <c r="S6" s="216"/>
      <c r="T6" s="216"/>
      <c r="U6" s="216"/>
      <c r="V6" s="264"/>
      <c r="W6" s="265"/>
      <c r="X6" s="4"/>
      <c r="Y6" s="101" t="s">
        <v>63</v>
      </c>
      <c r="Z6" s="105">
        <f>IF(Z4=8,0,2.1*Z3)</f>
        <v>44.1</v>
      </c>
      <c r="AA6" s="4"/>
      <c r="AB6" s="4"/>
      <c r="AC6" s="4"/>
      <c r="AD6" s="4"/>
      <c r="AE6" s="25"/>
      <c r="AF6" s="4"/>
      <c r="AG6" s="4"/>
      <c r="AH6" s="4"/>
      <c r="AI6" s="4"/>
      <c r="AM6" s="26"/>
      <c r="AN6" s="26"/>
      <c r="AO6" s="26"/>
      <c r="AP6" s="26"/>
    </row>
    <row r="7" spans="1:44" ht="15" customHeight="1" thickBot="1" x14ac:dyDescent="0.25">
      <c r="A7" s="319"/>
      <c r="B7" s="219"/>
      <c r="C7" s="219"/>
      <c r="D7" s="309"/>
      <c r="E7" s="310"/>
      <c r="F7" s="311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100"/>
      <c r="X7" s="4"/>
      <c r="Y7" s="102" t="s">
        <v>64</v>
      </c>
      <c r="Z7" s="106">
        <f>+Z6+Z5</f>
        <v>178.5</v>
      </c>
      <c r="AA7" s="4"/>
      <c r="AB7" s="4"/>
      <c r="AC7" s="4"/>
      <c r="AD7" s="4"/>
      <c r="AE7" s="25"/>
      <c r="AF7" s="4"/>
      <c r="AG7" s="4"/>
      <c r="AH7" s="4"/>
      <c r="AI7" s="4"/>
      <c r="AM7" s="26"/>
      <c r="AN7" s="26"/>
      <c r="AO7" s="26"/>
      <c r="AP7" s="26"/>
    </row>
    <row r="8" spans="1:44" ht="27.75" customHeight="1" x14ac:dyDescent="0.2">
      <c r="A8" s="28"/>
      <c r="B8" s="28"/>
      <c r="C8" s="28"/>
      <c r="D8" s="29"/>
      <c r="E8" s="29"/>
      <c r="F8" s="30"/>
      <c r="G8" s="31"/>
      <c r="H8" s="32"/>
      <c r="I8" s="32"/>
      <c r="J8" s="32"/>
      <c r="K8" s="24"/>
      <c r="L8" s="24"/>
      <c r="M8" s="24"/>
      <c r="N8" s="258"/>
      <c r="O8" s="259"/>
      <c r="P8" s="259"/>
      <c r="Q8" s="259"/>
      <c r="R8" s="259"/>
      <c r="S8" s="259"/>
      <c r="T8" s="259"/>
      <c r="U8" s="259"/>
      <c r="V8" s="259"/>
      <c r="W8" s="24"/>
      <c r="X8" s="4"/>
      <c r="Y8" s="4"/>
      <c r="Z8" s="4"/>
      <c r="AA8" s="4"/>
      <c r="AB8" s="4"/>
      <c r="AC8" s="4"/>
      <c r="AD8" s="4"/>
      <c r="AE8" s="25"/>
      <c r="AF8" s="4"/>
      <c r="AG8" s="4"/>
      <c r="AH8" s="4"/>
      <c r="AI8" s="4"/>
      <c r="AM8" s="26"/>
      <c r="AN8" s="26"/>
      <c r="AO8" s="26"/>
      <c r="AP8" s="26"/>
    </row>
    <row r="9" spans="1:44" ht="35.25" customHeight="1" thickBot="1" x14ac:dyDescent="0.25">
      <c r="A9" s="187" t="s">
        <v>31</v>
      </c>
      <c r="B9" s="188"/>
      <c r="C9" s="188"/>
      <c r="D9" s="188"/>
      <c r="E9" s="188"/>
      <c r="F9" s="188"/>
      <c r="G9" s="188"/>
      <c r="H9" s="188"/>
      <c r="I9" s="188"/>
      <c r="J9" s="188"/>
      <c r="K9" s="188"/>
      <c r="L9" s="188"/>
      <c r="M9" s="188"/>
      <c r="N9" s="188"/>
      <c r="O9" s="188"/>
      <c r="P9" s="188"/>
      <c r="Q9" s="188"/>
      <c r="R9" s="188"/>
      <c r="S9" s="188"/>
      <c r="T9" s="188"/>
      <c r="U9" s="188"/>
      <c r="V9" s="188"/>
      <c r="W9" s="188"/>
      <c r="X9" s="188"/>
      <c r="Y9" s="188"/>
      <c r="Z9" s="82"/>
      <c r="AA9" s="82"/>
      <c r="AB9" s="82"/>
      <c r="AC9" s="82"/>
      <c r="AD9" s="4"/>
      <c r="AE9" s="25"/>
      <c r="AF9" s="4"/>
      <c r="AG9" s="4"/>
      <c r="AH9" s="4"/>
      <c r="AI9" s="4"/>
      <c r="AM9" s="26"/>
      <c r="AN9" s="26"/>
      <c r="AO9" s="26"/>
      <c r="AP9" s="26"/>
    </row>
    <row r="10" spans="1:44" ht="38.25" customHeight="1" thickBot="1" x14ac:dyDescent="0.25">
      <c r="A10" s="233" t="s">
        <v>2</v>
      </c>
      <c r="B10" s="208" t="s">
        <v>3</v>
      </c>
      <c r="C10" s="208" t="s">
        <v>44</v>
      </c>
      <c r="D10" s="208" t="s">
        <v>54</v>
      </c>
      <c r="E10" s="208" t="s">
        <v>7</v>
      </c>
      <c r="F10" s="208" t="s">
        <v>4</v>
      </c>
      <c r="G10" s="202" t="s">
        <v>6</v>
      </c>
      <c r="H10" s="203"/>
      <c r="I10" s="203"/>
      <c r="J10" s="203"/>
      <c r="K10" s="203"/>
      <c r="L10" s="203"/>
      <c r="M10" s="33"/>
      <c r="N10" s="208" t="s">
        <v>5</v>
      </c>
      <c r="O10" s="208" t="s">
        <v>32</v>
      </c>
      <c r="P10" s="208" t="s">
        <v>8</v>
      </c>
      <c r="Q10" s="208" t="s">
        <v>9</v>
      </c>
      <c r="R10" s="225" t="s">
        <v>10</v>
      </c>
      <c r="S10" s="203"/>
      <c r="T10" s="203"/>
      <c r="U10" s="203"/>
      <c r="V10" s="203"/>
      <c r="W10" s="203"/>
      <c r="X10" s="198" t="s">
        <v>51</v>
      </c>
      <c r="Y10" s="199"/>
      <c r="Z10" s="312" t="s">
        <v>56</v>
      </c>
      <c r="AA10" s="313"/>
      <c r="AB10" s="313"/>
      <c r="AC10" s="314"/>
      <c r="AD10" s="4"/>
      <c r="AE10" s="25"/>
      <c r="AF10" s="4"/>
      <c r="AG10" s="4"/>
      <c r="AH10" s="4"/>
      <c r="AI10" s="4"/>
      <c r="AM10" s="26"/>
      <c r="AN10" s="26"/>
      <c r="AO10" s="26"/>
      <c r="AP10" s="26"/>
    </row>
    <row r="11" spans="1:44" ht="15.75" customHeight="1" thickBot="1" x14ac:dyDescent="0.25">
      <c r="A11" s="234"/>
      <c r="B11" s="209"/>
      <c r="C11" s="209"/>
      <c r="D11" s="209"/>
      <c r="E11" s="209"/>
      <c r="F11" s="209"/>
      <c r="G11" s="34" t="s">
        <v>11</v>
      </c>
      <c r="H11" s="34" t="s">
        <v>12</v>
      </c>
      <c r="I11" s="34" t="s">
        <v>12</v>
      </c>
      <c r="J11" s="34" t="s">
        <v>13</v>
      </c>
      <c r="K11" s="34" t="s">
        <v>14</v>
      </c>
      <c r="L11" s="35" t="s">
        <v>15</v>
      </c>
      <c r="M11" s="35" t="s">
        <v>16</v>
      </c>
      <c r="N11" s="228"/>
      <c r="O11" s="229"/>
      <c r="P11" s="209"/>
      <c r="Q11" s="209"/>
      <c r="R11" s="226"/>
      <c r="S11" s="227"/>
      <c r="T11" s="227"/>
      <c r="U11" s="227"/>
      <c r="V11" s="227"/>
      <c r="W11" s="227"/>
      <c r="X11" s="200"/>
      <c r="Y11" s="201"/>
      <c r="Z11" s="315"/>
      <c r="AA11" s="316"/>
      <c r="AB11" s="316"/>
      <c r="AC11" s="317"/>
      <c r="AD11" s="4"/>
      <c r="AE11" s="110" t="s">
        <v>68</v>
      </c>
      <c r="AF11" s="4"/>
      <c r="AG11" s="4"/>
      <c r="AH11" s="4"/>
      <c r="AI11" s="4"/>
      <c r="AM11" s="26"/>
      <c r="AN11" s="26"/>
      <c r="AO11" s="26"/>
      <c r="AP11" s="26"/>
    </row>
    <row r="12" spans="1:44" ht="15.75" customHeight="1" thickBot="1" x14ac:dyDescent="0.25">
      <c r="A12" s="36"/>
      <c r="B12" s="37"/>
      <c r="C12" s="37"/>
      <c r="D12" s="37"/>
      <c r="E12" s="38"/>
      <c r="F12" s="38"/>
      <c r="G12" s="39"/>
      <c r="H12" s="39"/>
      <c r="I12" s="39"/>
      <c r="J12" s="39"/>
      <c r="K12" s="39"/>
      <c r="L12" s="39"/>
      <c r="M12" s="39"/>
      <c r="N12" s="38"/>
      <c r="O12" s="38"/>
      <c r="P12" s="38"/>
      <c r="Q12" s="40"/>
      <c r="R12" s="40" t="s">
        <v>11</v>
      </c>
      <c r="S12" s="40" t="s">
        <v>12</v>
      </c>
      <c r="T12" s="40" t="s">
        <v>12</v>
      </c>
      <c r="U12" s="40" t="s">
        <v>13</v>
      </c>
      <c r="V12" s="40" t="s">
        <v>14</v>
      </c>
      <c r="W12" s="41" t="s">
        <v>15</v>
      </c>
      <c r="X12" s="231"/>
      <c r="Y12" s="232"/>
      <c r="Z12" s="107" t="s">
        <v>52</v>
      </c>
      <c r="AA12" s="108" t="s">
        <v>57</v>
      </c>
      <c r="AB12" s="108" t="s">
        <v>53</v>
      </c>
      <c r="AC12" s="109" t="s">
        <v>58</v>
      </c>
      <c r="AD12" s="4"/>
      <c r="AE12" s="90" t="s">
        <v>59</v>
      </c>
      <c r="AF12" s="89" t="s">
        <v>11</v>
      </c>
      <c r="AG12" s="40" t="s">
        <v>12</v>
      </c>
      <c r="AH12" s="40" t="s">
        <v>12</v>
      </c>
      <c r="AI12" s="40" t="s">
        <v>13</v>
      </c>
      <c r="AJ12" s="40" t="s">
        <v>14</v>
      </c>
      <c r="AK12" s="41" t="s">
        <v>15</v>
      </c>
      <c r="AM12" s="42" t="s">
        <v>11</v>
      </c>
      <c r="AN12" s="42" t="s">
        <v>12</v>
      </c>
      <c r="AO12" s="42" t="s">
        <v>12</v>
      </c>
      <c r="AP12" s="42" t="s">
        <v>13</v>
      </c>
      <c r="AQ12" s="42" t="s">
        <v>14</v>
      </c>
      <c r="AR12" s="43" t="s">
        <v>15</v>
      </c>
    </row>
    <row r="13" spans="1:44" ht="139.5" customHeight="1" thickBot="1" x14ac:dyDescent="0.25">
      <c r="A13" s="252">
        <v>1597925</v>
      </c>
      <c r="B13" s="252" t="s">
        <v>76</v>
      </c>
      <c r="C13" s="252" t="s">
        <v>72</v>
      </c>
      <c r="D13" s="252">
        <v>24</v>
      </c>
      <c r="E13" s="205" t="s">
        <v>73</v>
      </c>
      <c r="F13" s="170" t="s">
        <v>74</v>
      </c>
      <c r="G13" s="115"/>
      <c r="H13" s="116"/>
      <c r="I13" s="116"/>
      <c r="J13" s="116"/>
      <c r="K13" s="116"/>
      <c r="L13" s="116"/>
      <c r="M13" s="117"/>
      <c r="N13" s="239">
        <v>40</v>
      </c>
      <c r="O13" s="255">
        <v>0</v>
      </c>
      <c r="P13" s="255">
        <v>40</v>
      </c>
      <c r="Q13" s="320">
        <v>40</v>
      </c>
      <c r="R13" s="326"/>
      <c r="S13" s="327"/>
      <c r="T13" s="176">
        <v>6</v>
      </c>
      <c r="U13" s="176">
        <v>7</v>
      </c>
      <c r="V13" s="177">
        <v>1</v>
      </c>
      <c r="W13" s="176">
        <v>2</v>
      </c>
      <c r="X13" s="141" t="s">
        <v>69</v>
      </c>
      <c r="Y13" s="120"/>
      <c r="Z13" s="269"/>
      <c r="AA13" s="271"/>
      <c r="AB13" s="271"/>
      <c r="AC13" s="273"/>
      <c r="AD13" s="5"/>
      <c r="AE13" s="266" t="e">
        <f>AO16</f>
        <v>#VALUE!</v>
      </c>
      <c r="AF13" s="44">
        <f t="shared" ref="AF13" si="0">CountCcolor(R13,ColorRef)</f>
        <v>1</v>
      </c>
      <c r="AG13" s="44">
        <f t="shared" ref="AF13:AG16" si="1">CountCcolor(S13,ColorRef)</f>
        <v>1</v>
      </c>
      <c r="AH13" s="44">
        <f t="shared" ref="AH13:AH16" si="2">CountCcolor(T13,ColorRef)</f>
        <v>1</v>
      </c>
      <c r="AI13" s="44">
        <f t="shared" ref="AI13:AI16" si="3">CountCcolor(U13,ColorRef)</f>
        <v>1</v>
      </c>
      <c r="AJ13" s="44">
        <f t="shared" ref="AJ13:AJ16" si="4">CountCcolor(V13,ColorRef)</f>
        <v>1</v>
      </c>
      <c r="AK13" s="44">
        <f t="shared" ref="AK13" si="5">CountCcolor(W13,ColorRef)</f>
        <v>1</v>
      </c>
      <c r="AL13" s="46"/>
      <c r="AM13" s="47">
        <f>G16-G14</f>
        <v>0</v>
      </c>
      <c r="AN13" s="47">
        <f t="shared" ref="AN13" si="6">H16-H14</f>
        <v>0</v>
      </c>
      <c r="AO13" s="47" t="e">
        <f t="shared" ref="AO13" si="7">I16-I14</f>
        <v>#VALUE!</v>
      </c>
      <c r="AP13" s="47" t="e">
        <f t="shared" ref="AP13" si="8">J16-J14</f>
        <v>#VALUE!</v>
      </c>
      <c r="AQ13" s="47" t="e">
        <f t="shared" ref="AQ13" si="9">K16-K14</f>
        <v>#VALUE!</v>
      </c>
      <c r="AR13" s="47" t="e">
        <f t="shared" ref="AR13" si="10">L16-L14</f>
        <v>#VALUE!</v>
      </c>
    </row>
    <row r="14" spans="1:44" ht="105.75" customHeight="1" thickBot="1" x14ac:dyDescent="0.25">
      <c r="A14" s="253"/>
      <c r="B14" s="253"/>
      <c r="C14" s="253"/>
      <c r="D14" s="253"/>
      <c r="E14" s="206"/>
      <c r="F14" s="134"/>
      <c r="G14" s="118"/>
      <c r="H14" s="118"/>
      <c r="I14" s="118" t="s">
        <v>77</v>
      </c>
      <c r="J14" s="118" t="s">
        <v>77</v>
      </c>
      <c r="K14" s="118" t="s">
        <v>77</v>
      </c>
      <c r="L14" s="118" t="s">
        <v>77</v>
      </c>
      <c r="M14" s="119"/>
      <c r="N14" s="240"/>
      <c r="O14" s="256"/>
      <c r="P14" s="256"/>
      <c r="Q14" s="321"/>
      <c r="R14" s="323"/>
      <c r="S14" s="324"/>
      <c r="T14" s="325"/>
      <c r="U14" s="324"/>
      <c r="V14" s="177">
        <v>8</v>
      </c>
      <c r="W14" s="150"/>
      <c r="X14" s="142"/>
      <c r="Y14" s="121"/>
      <c r="Z14" s="270"/>
      <c r="AA14" s="272"/>
      <c r="AB14" s="272"/>
      <c r="AC14" s="274"/>
      <c r="AD14" s="5"/>
      <c r="AE14" s="267"/>
      <c r="AF14" s="168">
        <f t="shared" si="1"/>
        <v>1</v>
      </c>
      <c r="AG14" s="168">
        <f t="shared" si="1"/>
        <v>1</v>
      </c>
      <c r="AH14" s="168">
        <f t="shared" si="2"/>
        <v>1</v>
      </c>
      <c r="AI14" s="168">
        <f t="shared" si="3"/>
        <v>1</v>
      </c>
      <c r="AJ14" s="168">
        <f t="shared" si="4"/>
        <v>1</v>
      </c>
      <c r="AK14" s="49">
        <f t="shared" ref="AK14:AK16" si="11">CountCcolor(W14,ColorRef)</f>
        <v>0</v>
      </c>
      <c r="AL14" s="46"/>
      <c r="AM14" s="47">
        <f t="shared" ref="AM14:AR14" si="12">SUM(AF13:AF17)</f>
        <v>2</v>
      </c>
      <c r="AN14" s="47">
        <f t="shared" si="12"/>
        <v>2</v>
      </c>
      <c r="AO14" s="47">
        <f t="shared" si="12"/>
        <v>2</v>
      </c>
      <c r="AP14" s="47">
        <f t="shared" si="12"/>
        <v>2</v>
      </c>
      <c r="AQ14" s="47">
        <f t="shared" si="12"/>
        <v>2</v>
      </c>
      <c r="AR14" s="47">
        <f t="shared" si="12"/>
        <v>1</v>
      </c>
    </row>
    <row r="15" spans="1:44" ht="20.100000000000001" customHeight="1" thickBot="1" x14ac:dyDescent="0.25">
      <c r="A15" s="253"/>
      <c r="B15" s="253"/>
      <c r="C15" s="253"/>
      <c r="D15" s="253"/>
      <c r="E15" s="206"/>
      <c r="F15" s="134"/>
      <c r="G15" s="118"/>
      <c r="H15" s="118"/>
      <c r="I15" s="118" t="s">
        <v>47</v>
      </c>
      <c r="J15" s="118" t="s">
        <v>47</v>
      </c>
      <c r="K15" s="118" t="s">
        <v>47</v>
      </c>
      <c r="L15" s="118" t="s">
        <v>47</v>
      </c>
      <c r="M15" s="119"/>
      <c r="N15" s="240"/>
      <c r="O15" s="256"/>
      <c r="P15" s="256"/>
      <c r="Q15" s="321"/>
      <c r="R15" s="171"/>
      <c r="S15" s="172"/>
      <c r="T15" s="173"/>
      <c r="U15" s="172"/>
      <c r="V15" s="173"/>
      <c r="W15" s="150"/>
      <c r="X15" s="142"/>
      <c r="Y15" s="121"/>
      <c r="Z15" s="270"/>
      <c r="AA15" s="272"/>
      <c r="AB15" s="272"/>
      <c r="AC15" s="274"/>
      <c r="AD15" s="5"/>
      <c r="AE15" s="267"/>
      <c r="AF15" s="168">
        <f t="shared" si="1"/>
        <v>0</v>
      </c>
      <c r="AG15" s="168">
        <f t="shared" si="1"/>
        <v>0</v>
      </c>
      <c r="AH15" s="168">
        <f t="shared" si="2"/>
        <v>0</v>
      </c>
      <c r="AI15" s="168">
        <f t="shared" si="3"/>
        <v>0</v>
      </c>
      <c r="AJ15" s="168">
        <f t="shared" si="4"/>
        <v>0</v>
      </c>
      <c r="AK15" s="168">
        <f t="shared" si="11"/>
        <v>0</v>
      </c>
      <c r="AL15" s="46"/>
      <c r="AM15" s="47">
        <f>AM14*AM13</f>
        <v>0</v>
      </c>
      <c r="AN15" s="47">
        <f t="shared" ref="AN15:AR15" si="13">AN14*AN13</f>
        <v>0</v>
      </c>
      <c r="AO15" s="47" t="e">
        <f t="shared" si="13"/>
        <v>#VALUE!</v>
      </c>
      <c r="AP15" s="47" t="e">
        <f t="shared" si="13"/>
        <v>#VALUE!</v>
      </c>
      <c r="AQ15" s="47" t="e">
        <f t="shared" si="13"/>
        <v>#VALUE!</v>
      </c>
      <c r="AR15" s="47" t="e">
        <f t="shared" si="13"/>
        <v>#VALUE!</v>
      </c>
    </row>
    <row r="16" spans="1:44" ht="20.100000000000001" customHeight="1" thickBot="1" x14ac:dyDescent="0.25">
      <c r="A16" s="253"/>
      <c r="B16" s="253"/>
      <c r="C16" s="253"/>
      <c r="D16" s="253"/>
      <c r="E16" s="206"/>
      <c r="F16" s="134"/>
      <c r="G16" s="118"/>
      <c r="H16" s="118"/>
      <c r="I16" s="118" t="s">
        <v>78</v>
      </c>
      <c r="J16" s="118" t="s">
        <v>78</v>
      </c>
      <c r="K16" s="118" t="s">
        <v>78</v>
      </c>
      <c r="L16" s="118" t="s">
        <v>78</v>
      </c>
      <c r="M16" s="119"/>
      <c r="N16" s="240"/>
      <c r="O16" s="256"/>
      <c r="P16" s="256"/>
      <c r="Q16" s="321"/>
      <c r="R16" s="171"/>
      <c r="S16" s="172"/>
      <c r="T16" s="173"/>
      <c r="U16" s="172"/>
      <c r="V16" s="173"/>
      <c r="W16" s="150"/>
      <c r="X16" s="142"/>
      <c r="Y16" s="121"/>
      <c r="Z16" s="270"/>
      <c r="AA16" s="272"/>
      <c r="AB16" s="272"/>
      <c r="AC16" s="274"/>
      <c r="AD16" s="5"/>
      <c r="AE16" s="267"/>
      <c r="AF16" s="168">
        <f t="shared" si="1"/>
        <v>0</v>
      </c>
      <c r="AG16" s="168">
        <f t="shared" si="1"/>
        <v>0</v>
      </c>
      <c r="AH16" s="168">
        <f t="shared" si="2"/>
        <v>0</v>
      </c>
      <c r="AI16" s="168">
        <f t="shared" si="3"/>
        <v>0</v>
      </c>
      <c r="AJ16" s="168">
        <f t="shared" si="4"/>
        <v>0</v>
      </c>
      <c r="AK16" s="49">
        <f t="shared" si="11"/>
        <v>0</v>
      </c>
      <c r="AL16" s="46"/>
      <c r="AM16" s="47"/>
      <c r="AN16" s="47"/>
      <c r="AO16" s="50" t="e">
        <f>SUM(AM15:AR15)</f>
        <v>#VALUE!</v>
      </c>
      <c r="AP16" s="47"/>
      <c r="AQ16" s="47"/>
      <c r="AR16" s="47"/>
    </row>
    <row r="17" spans="1:44" ht="20.100000000000001" customHeight="1" thickBot="1" x14ac:dyDescent="0.25">
      <c r="A17" s="254"/>
      <c r="B17" s="254"/>
      <c r="C17" s="254"/>
      <c r="D17" s="254"/>
      <c r="E17" s="207"/>
      <c r="F17" s="155"/>
      <c r="G17" s="118"/>
      <c r="H17" s="118"/>
      <c r="I17" s="118"/>
      <c r="J17" s="118"/>
      <c r="K17" s="118"/>
      <c r="L17" s="118"/>
      <c r="M17" s="156"/>
      <c r="N17" s="241"/>
      <c r="O17" s="257"/>
      <c r="P17" s="257"/>
      <c r="Q17" s="322"/>
      <c r="R17" s="175"/>
      <c r="S17" s="174"/>
      <c r="T17" s="174"/>
      <c r="U17" s="174"/>
      <c r="V17" s="174"/>
      <c r="W17" s="158"/>
      <c r="X17" s="122"/>
      <c r="Y17" s="123"/>
      <c r="Z17" s="270"/>
      <c r="AA17" s="272"/>
      <c r="AB17" s="272"/>
      <c r="AC17" s="274"/>
      <c r="AD17" s="5"/>
      <c r="AE17" s="267"/>
      <c r="AF17" s="148"/>
      <c r="AG17" s="148"/>
      <c r="AH17" s="148"/>
      <c r="AI17" s="148"/>
      <c r="AJ17" s="148"/>
      <c r="AK17" s="49"/>
      <c r="AL17" s="46"/>
      <c r="AM17" s="47"/>
      <c r="AN17" s="47"/>
      <c r="AO17" s="50"/>
      <c r="AP17" s="47"/>
      <c r="AQ17" s="47"/>
      <c r="AR17" s="47"/>
    </row>
    <row r="18" spans="1:44" ht="20.100000000000001" customHeight="1" thickBot="1" x14ac:dyDescent="0.25">
      <c r="A18" s="213"/>
      <c r="B18" s="213"/>
      <c r="C18" s="213"/>
      <c r="D18" s="213"/>
      <c r="E18" s="210"/>
      <c r="F18" s="169"/>
      <c r="G18" s="111"/>
      <c r="H18" s="17"/>
      <c r="I18" s="17"/>
      <c r="J18" s="17"/>
      <c r="K18" s="17"/>
      <c r="L18" s="17"/>
      <c r="M18" s="18"/>
      <c r="N18" s="235"/>
      <c r="O18" s="238"/>
      <c r="P18" s="238"/>
      <c r="Q18" s="222"/>
      <c r="R18" s="164"/>
      <c r="S18" s="153"/>
      <c r="T18" s="153"/>
      <c r="U18" s="153"/>
      <c r="V18" s="153"/>
      <c r="W18" s="166"/>
      <c r="X18" s="143"/>
      <c r="Y18" s="86"/>
      <c r="Z18" s="275"/>
      <c r="AA18" s="275"/>
      <c r="AB18" s="275"/>
      <c r="AC18" s="275"/>
      <c r="AD18" s="5"/>
      <c r="AE18" s="266" t="e">
        <f>AO21</f>
        <v>#VALUE!</v>
      </c>
      <c r="AF18" s="44">
        <f t="shared" ref="AF18" si="14">CountCcolor(R18,ColorRef)</f>
        <v>0</v>
      </c>
      <c r="AG18" s="44">
        <f t="shared" ref="AG18" si="15">CountCcolor(S18,ColorRef)</f>
        <v>0</v>
      </c>
      <c r="AH18" s="44">
        <f t="shared" ref="AH18" si="16">CountCcolor(T18,ColorRef)</f>
        <v>0</v>
      </c>
      <c r="AI18" s="44">
        <f t="shared" ref="AI18" si="17">CountCcolor(U18,ColorRef)</f>
        <v>0</v>
      </c>
      <c r="AJ18" s="44">
        <f t="shared" ref="AJ18" si="18">CountCcolor(V18,ColorRef)</f>
        <v>0</v>
      </c>
      <c r="AK18" s="45">
        <f t="shared" ref="AK18:AK22" si="19">CountCcolor(W18,ColorRef)</f>
        <v>0</v>
      </c>
      <c r="AL18" s="46"/>
      <c r="AM18" s="47">
        <f>G21-G19</f>
        <v>0</v>
      </c>
      <c r="AN18" s="47">
        <f t="shared" ref="AN18" si="20">H21-H19</f>
        <v>0</v>
      </c>
      <c r="AO18" s="47">
        <f t="shared" ref="AO18" si="21">I21-I19</f>
        <v>0</v>
      </c>
      <c r="AP18" s="47">
        <f t="shared" ref="AP18" si="22">J21-J19</f>
        <v>0</v>
      </c>
      <c r="AQ18" s="47" t="e">
        <f t="shared" ref="AQ18" si="23">K21-K19</f>
        <v>#VALUE!</v>
      </c>
      <c r="AR18" s="47">
        <f t="shared" ref="AR18" si="24">L21-L19</f>
        <v>0</v>
      </c>
    </row>
    <row r="19" spans="1:44" ht="20.100000000000001" customHeight="1" thickBot="1" x14ac:dyDescent="0.25">
      <c r="A19" s="244"/>
      <c r="B19" s="244"/>
      <c r="C19" s="214"/>
      <c r="D19" s="214"/>
      <c r="E19" s="211"/>
      <c r="F19" s="135"/>
      <c r="G19" s="112"/>
      <c r="H19" s="112"/>
      <c r="I19" s="112"/>
      <c r="J19" s="112"/>
      <c r="K19" s="118" t="s">
        <v>77</v>
      </c>
      <c r="L19" s="19"/>
      <c r="M19" s="20"/>
      <c r="N19" s="236"/>
      <c r="O19" s="214"/>
      <c r="P19" s="214"/>
      <c r="Q19" s="223"/>
      <c r="R19" s="149"/>
      <c r="S19" s="150"/>
      <c r="T19" s="154"/>
      <c r="U19" s="150"/>
      <c r="V19" s="154"/>
      <c r="W19" s="150"/>
      <c r="X19" s="144"/>
      <c r="Y19" s="87"/>
      <c r="Z19" s="276"/>
      <c r="AA19" s="276"/>
      <c r="AB19" s="276"/>
      <c r="AC19" s="276"/>
      <c r="AD19" s="5"/>
      <c r="AE19" s="267"/>
      <c r="AF19" s="44">
        <f t="shared" ref="AF19:AF22" si="25">CountCcolor(R19,ColorRef)</f>
        <v>0</v>
      </c>
      <c r="AG19" s="44">
        <f t="shared" ref="AG19:AG22" si="26">CountCcolor(S19,ColorRef)</f>
        <v>0</v>
      </c>
      <c r="AH19" s="44">
        <f t="shared" ref="AH19:AH22" si="27">CountCcolor(T19,ColorRef)</f>
        <v>0</v>
      </c>
      <c r="AI19" s="44">
        <f t="shared" ref="AI19:AI22" si="28">CountCcolor(U19,ColorRef)</f>
        <v>0</v>
      </c>
      <c r="AJ19" s="44">
        <f t="shared" ref="AJ19:AJ22" si="29">CountCcolor(V19,ColorRef)</f>
        <v>0</v>
      </c>
      <c r="AK19" s="49">
        <f t="shared" si="19"/>
        <v>0</v>
      </c>
      <c r="AL19" s="46"/>
      <c r="AM19" s="47">
        <f t="shared" ref="AM19:AR19" si="30">SUM(AF18:AF22)</f>
        <v>1</v>
      </c>
      <c r="AN19" s="47">
        <f t="shared" si="30"/>
        <v>1</v>
      </c>
      <c r="AO19" s="47">
        <f t="shared" si="30"/>
        <v>1</v>
      </c>
      <c r="AP19" s="47">
        <f t="shared" si="30"/>
        <v>1</v>
      </c>
      <c r="AQ19" s="47">
        <f t="shared" si="30"/>
        <v>1</v>
      </c>
      <c r="AR19" s="47">
        <f t="shared" si="30"/>
        <v>0</v>
      </c>
    </row>
    <row r="20" spans="1:44" ht="20.100000000000001" customHeight="1" thickBot="1" x14ac:dyDescent="0.25">
      <c r="A20" s="244"/>
      <c r="B20" s="244"/>
      <c r="C20" s="214"/>
      <c r="D20" s="214"/>
      <c r="E20" s="211"/>
      <c r="F20" s="135"/>
      <c r="G20" s="112"/>
      <c r="H20" s="112"/>
      <c r="I20" s="112"/>
      <c r="J20" s="112"/>
      <c r="K20" s="118" t="s">
        <v>47</v>
      </c>
      <c r="L20" s="19"/>
      <c r="M20" s="20"/>
      <c r="N20" s="236"/>
      <c r="O20" s="214"/>
      <c r="P20" s="214"/>
      <c r="Q20" s="223"/>
      <c r="R20" s="149"/>
      <c r="S20" s="150"/>
      <c r="T20" s="154"/>
      <c r="U20" s="150"/>
      <c r="V20" s="154"/>
      <c r="W20" s="150"/>
      <c r="X20" s="144"/>
      <c r="Y20" s="87"/>
      <c r="Z20" s="276"/>
      <c r="AA20" s="276"/>
      <c r="AB20" s="276"/>
      <c r="AC20" s="276"/>
      <c r="AD20" s="5"/>
      <c r="AE20" s="267"/>
      <c r="AF20" s="44">
        <f t="shared" si="25"/>
        <v>0</v>
      </c>
      <c r="AG20" s="44">
        <f t="shared" si="26"/>
        <v>0</v>
      </c>
      <c r="AH20" s="44">
        <f t="shared" si="27"/>
        <v>0</v>
      </c>
      <c r="AI20" s="44">
        <f t="shared" si="28"/>
        <v>0</v>
      </c>
      <c r="AJ20" s="44">
        <f t="shared" si="29"/>
        <v>0</v>
      </c>
      <c r="AK20" s="49">
        <f t="shared" si="19"/>
        <v>0</v>
      </c>
      <c r="AL20" s="46"/>
      <c r="AM20" s="47">
        <f>AM19*AM18</f>
        <v>0</v>
      </c>
      <c r="AN20" s="47">
        <f t="shared" ref="AN20" si="31">AN19*AN18</f>
        <v>0</v>
      </c>
      <c r="AO20" s="47">
        <f t="shared" ref="AO20" si="32">AO19*AO18</f>
        <v>0</v>
      </c>
      <c r="AP20" s="47">
        <f t="shared" ref="AP20" si="33">AP19*AP18</f>
        <v>0</v>
      </c>
      <c r="AQ20" s="47" t="e">
        <f t="shared" ref="AQ20" si="34">AQ19*AQ18</f>
        <v>#VALUE!</v>
      </c>
      <c r="AR20" s="47">
        <f t="shared" ref="AR20" si="35">AR19*AR18</f>
        <v>0</v>
      </c>
    </row>
    <row r="21" spans="1:44" ht="20.100000000000001" customHeight="1" thickBot="1" x14ac:dyDescent="0.25">
      <c r="A21" s="244"/>
      <c r="B21" s="244"/>
      <c r="C21" s="214"/>
      <c r="D21" s="214"/>
      <c r="E21" s="211"/>
      <c r="F21" s="135"/>
      <c r="G21" s="112"/>
      <c r="H21" s="112"/>
      <c r="I21" s="112"/>
      <c r="J21" s="112"/>
      <c r="K21" s="118" t="s">
        <v>78</v>
      </c>
      <c r="L21" s="19"/>
      <c r="M21" s="20"/>
      <c r="N21" s="236"/>
      <c r="O21" s="214"/>
      <c r="P21" s="214"/>
      <c r="Q21" s="223"/>
      <c r="R21" s="149"/>
      <c r="S21" s="150"/>
      <c r="T21" s="154"/>
      <c r="U21" s="150"/>
      <c r="V21" s="154"/>
      <c r="W21" s="150"/>
      <c r="X21" s="144"/>
      <c r="Y21" s="87"/>
      <c r="Z21" s="276"/>
      <c r="AA21" s="276"/>
      <c r="AB21" s="276"/>
      <c r="AC21" s="276"/>
      <c r="AD21" s="5"/>
      <c r="AE21" s="267"/>
      <c r="AF21" s="44">
        <f t="shared" si="25"/>
        <v>0</v>
      </c>
      <c r="AG21" s="44">
        <f t="shared" si="26"/>
        <v>0</v>
      </c>
      <c r="AH21" s="44">
        <f t="shared" si="27"/>
        <v>0</v>
      </c>
      <c r="AI21" s="44">
        <f t="shared" si="28"/>
        <v>0</v>
      </c>
      <c r="AJ21" s="44">
        <f t="shared" si="29"/>
        <v>0</v>
      </c>
      <c r="AK21" s="49">
        <f t="shared" si="19"/>
        <v>0</v>
      </c>
      <c r="AL21" s="46"/>
      <c r="AM21" s="47"/>
      <c r="AN21" s="47"/>
      <c r="AO21" s="50" t="e">
        <f>SUM(AM20:AR20)</f>
        <v>#VALUE!</v>
      </c>
      <c r="AP21" s="47"/>
      <c r="AQ21" s="47"/>
      <c r="AR21" s="47"/>
    </row>
    <row r="22" spans="1:44" ht="20.100000000000001" customHeight="1" thickBot="1" x14ac:dyDescent="0.25">
      <c r="A22" s="245"/>
      <c r="B22" s="245"/>
      <c r="C22" s="215"/>
      <c r="D22" s="215"/>
      <c r="E22" s="212"/>
      <c r="F22" s="136"/>
      <c r="G22" s="70"/>
      <c r="H22" s="69"/>
      <c r="I22" s="69"/>
      <c r="J22" s="69"/>
      <c r="K22" s="69"/>
      <c r="L22" s="70"/>
      <c r="M22" s="71"/>
      <c r="N22" s="237"/>
      <c r="O22" s="214"/>
      <c r="P22" s="214"/>
      <c r="Q22" s="224"/>
      <c r="R22" s="175"/>
      <c r="S22" s="174"/>
      <c r="T22" s="174"/>
      <c r="U22" s="174"/>
      <c r="V22" s="174"/>
      <c r="W22" s="158"/>
      <c r="X22" s="72"/>
      <c r="Y22" s="88"/>
      <c r="Z22" s="277"/>
      <c r="AA22" s="277"/>
      <c r="AB22" s="277"/>
      <c r="AC22" s="277"/>
      <c r="AD22" s="5"/>
      <c r="AE22" s="268"/>
      <c r="AF22" s="44">
        <f t="shared" si="25"/>
        <v>1</v>
      </c>
      <c r="AG22" s="44">
        <f t="shared" si="26"/>
        <v>1</v>
      </c>
      <c r="AH22" s="44">
        <f t="shared" si="27"/>
        <v>1</v>
      </c>
      <c r="AI22" s="44">
        <f t="shared" si="28"/>
        <v>1</v>
      </c>
      <c r="AJ22" s="44">
        <f t="shared" si="29"/>
        <v>1</v>
      </c>
      <c r="AK22" s="52">
        <f t="shared" si="19"/>
        <v>0</v>
      </c>
      <c r="AL22" s="46"/>
      <c r="AM22" s="47"/>
      <c r="AN22" s="47"/>
      <c r="AO22" s="47"/>
      <c r="AP22" s="47"/>
      <c r="AQ22" s="47"/>
      <c r="AR22" s="47"/>
    </row>
    <row r="23" spans="1:44" ht="32.25" customHeight="1" thickBot="1" x14ac:dyDescent="0.25">
      <c r="A23" s="114"/>
      <c r="B23" s="113"/>
      <c r="C23" s="113"/>
      <c r="D23" s="113"/>
      <c r="E23" s="113"/>
      <c r="F23" s="113"/>
      <c r="G23" s="181" t="s">
        <v>49</v>
      </c>
      <c r="H23" s="182"/>
      <c r="I23" s="182"/>
      <c r="J23" s="182"/>
      <c r="K23" s="182"/>
      <c r="L23" s="182"/>
      <c r="M23" s="182"/>
      <c r="N23" s="182"/>
      <c r="O23" s="182"/>
      <c r="P23" s="54">
        <f>SUM(P13:P22)</f>
        <v>40</v>
      </c>
      <c r="Q23" s="54">
        <f>SUM(Q13:Q22)</f>
        <v>40</v>
      </c>
      <c r="R23" s="55"/>
      <c r="S23" s="55"/>
      <c r="T23" s="55"/>
      <c r="U23" s="55"/>
      <c r="V23" s="55"/>
      <c r="W23" s="56"/>
      <c r="X23" s="4"/>
      <c r="Y23" s="4"/>
      <c r="Z23" s="4"/>
      <c r="AA23" s="4"/>
      <c r="AB23" s="4"/>
      <c r="AC23" s="4"/>
      <c r="AD23" s="5"/>
      <c r="AE23" s="16"/>
      <c r="AF23" s="5"/>
      <c r="AG23" s="5"/>
      <c r="AH23" s="5"/>
      <c r="AI23" s="5"/>
      <c r="AM23" s="53"/>
      <c r="AN23" s="53"/>
      <c r="AO23" s="53"/>
      <c r="AP23" s="53"/>
    </row>
    <row r="24" spans="1:44" s="62" customFormat="1" ht="27.75" customHeight="1" thickBot="1" x14ac:dyDescent="0.35">
      <c r="A24" s="74"/>
      <c r="B24" s="75"/>
      <c r="C24" s="75"/>
      <c r="D24" s="75"/>
      <c r="E24" s="75"/>
      <c r="F24" s="75"/>
      <c r="G24" s="57"/>
      <c r="H24" s="57"/>
      <c r="I24" s="57"/>
      <c r="J24" s="57"/>
      <c r="K24" s="57"/>
      <c r="L24" s="57"/>
      <c r="M24" s="57"/>
      <c r="N24" s="57"/>
      <c r="O24" s="57"/>
      <c r="P24" s="58"/>
      <c r="Q24" s="58"/>
      <c r="R24" s="76"/>
      <c r="S24" s="76"/>
      <c r="T24" s="76"/>
      <c r="U24" s="76"/>
      <c r="V24" s="76"/>
      <c r="W24" s="77"/>
      <c r="X24" s="59"/>
      <c r="AA24" s="95"/>
      <c r="AB24" s="59"/>
      <c r="AC24" s="59"/>
      <c r="AD24" s="60"/>
      <c r="AE24" s="61"/>
      <c r="AF24" s="60"/>
      <c r="AG24" s="60"/>
      <c r="AH24" s="60"/>
      <c r="AI24" s="60"/>
      <c r="AM24" s="63"/>
      <c r="AN24" s="63"/>
      <c r="AO24" s="63"/>
      <c r="AP24" s="63"/>
      <c r="AQ24" s="64"/>
      <c r="AR24" s="64"/>
    </row>
    <row r="25" spans="1:44" ht="37.5" customHeight="1" thickBot="1" x14ac:dyDescent="0.35">
      <c r="A25" s="183" t="s">
        <v>17</v>
      </c>
      <c r="B25" s="184"/>
      <c r="C25" s="184"/>
      <c r="D25" s="185"/>
      <c r="E25" s="185"/>
      <c r="F25" s="184"/>
      <c r="G25" s="185"/>
      <c r="H25" s="185"/>
      <c r="I25" s="185"/>
      <c r="J25" s="185"/>
      <c r="K25" s="185"/>
      <c r="L25" s="185"/>
      <c r="M25" s="185"/>
      <c r="N25" s="184"/>
      <c r="O25" s="184"/>
      <c r="P25" s="184"/>
      <c r="Q25" s="184"/>
      <c r="R25" s="184"/>
      <c r="S25" s="184"/>
      <c r="T25" s="184"/>
      <c r="U25" s="184"/>
      <c r="V25" s="184"/>
      <c r="W25" s="186"/>
      <c r="AA25" s="96"/>
      <c r="AE25" s="16"/>
      <c r="AF25" s="5"/>
      <c r="AG25" s="5"/>
      <c r="AH25" s="5"/>
      <c r="AI25" s="5"/>
      <c r="AM25" s="53"/>
      <c r="AN25" s="53"/>
      <c r="AO25" s="53"/>
      <c r="AP25" s="53"/>
    </row>
    <row r="26" spans="1:44" ht="38.25" customHeight="1" x14ac:dyDescent="0.2">
      <c r="A26" s="290" t="s">
        <v>18</v>
      </c>
      <c r="B26" s="291"/>
      <c r="C26" s="292"/>
      <c r="D26" s="246" t="s">
        <v>19</v>
      </c>
      <c r="E26" s="287"/>
      <c r="F26" s="291" t="s">
        <v>20</v>
      </c>
      <c r="G26" s="246" t="s">
        <v>6</v>
      </c>
      <c r="H26" s="247"/>
      <c r="I26" s="247"/>
      <c r="J26" s="247"/>
      <c r="K26" s="247"/>
      <c r="L26" s="247"/>
      <c r="M26" s="85"/>
      <c r="N26" s="297" t="s">
        <v>41</v>
      </c>
      <c r="O26" s="208" t="s">
        <v>21</v>
      </c>
      <c r="P26" s="208" t="s">
        <v>22</v>
      </c>
      <c r="Q26" s="208" t="s">
        <v>23</v>
      </c>
      <c r="R26" s="202" t="s">
        <v>24</v>
      </c>
      <c r="S26" s="203"/>
      <c r="T26" s="203"/>
      <c r="U26" s="203"/>
      <c r="V26" s="203"/>
      <c r="W26" s="204"/>
      <c r="AA26" s="81"/>
      <c r="AB26" s="81"/>
      <c r="AC26" s="81"/>
      <c r="AE26" s="25"/>
      <c r="AF26" s="4"/>
      <c r="AG26" s="4"/>
      <c r="AH26" s="4"/>
      <c r="AI26" s="4"/>
      <c r="AM26" s="26"/>
      <c r="AN26" s="26"/>
      <c r="AO26" s="26"/>
      <c r="AP26" s="26"/>
    </row>
    <row r="27" spans="1:44" ht="17.25" customHeight="1" thickBot="1" x14ac:dyDescent="0.25">
      <c r="A27" s="288"/>
      <c r="B27" s="293"/>
      <c r="C27" s="289"/>
      <c r="D27" s="288"/>
      <c r="E27" s="289"/>
      <c r="F27" s="300"/>
      <c r="G27" s="91" t="s">
        <v>11</v>
      </c>
      <c r="H27" s="78" t="s">
        <v>12</v>
      </c>
      <c r="I27" s="78" t="s">
        <v>12</v>
      </c>
      <c r="J27" s="78" t="s">
        <v>13</v>
      </c>
      <c r="K27" s="78" t="s">
        <v>14</v>
      </c>
      <c r="L27" s="79" t="s">
        <v>15</v>
      </c>
      <c r="M27" s="80" t="s">
        <v>16</v>
      </c>
      <c r="N27" s="298"/>
      <c r="O27" s="299"/>
      <c r="P27" s="243"/>
      <c r="Q27" s="243"/>
      <c r="R27" s="78" t="s">
        <v>11</v>
      </c>
      <c r="S27" s="78" t="s">
        <v>12</v>
      </c>
      <c r="T27" s="78" t="s">
        <v>12</v>
      </c>
      <c r="U27" s="78" t="s">
        <v>13</v>
      </c>
      <c r="V27" s="78" t="s">
        <v>14</v>
      </c>
      <c r="W27" s="80" t="s">
        <v>15</v>
      </c>
      <c r="X27" s="73"/>
      <c r="AA27" s="81"/>
      <c r="AB27" s="81"/>
      <c r="AC27" s="81"/>
      <c r="AE27" s="25"/>
      <c r="AF27" s="40" t="s">
        <v>11</v>
      </c>
      <c r="AG27" s="40" t="s">
        <v>12</v>
      </c>
      <c r="AH27" s="40" t="s">
        <v>12</v>
      </c>
      <c r="AI27" s="40" t="s">
        <v>13</v>
      </c>
      <c r="AJ27" s="40" t="s">
        <v>14</v>
      </c>
      <c r="AK27" s="41" t="s">
        <v>15</v>
      </c>
      <c r="AM27" s="42" t="s">
        <v>11</v>
      </c>
      <c r="AN27" s="42" t="s">
        <v>12</v>
      </c>
      <c r="AO27" s="42" t="s">
        <v>12</v>
      </c>
      <c r="AP27" s="42" t="s">
        <v>13</v>
      </c>
      <c r="AQ27" s="42" t="s">
        <v>14</v>
      </c>
      <c r="AR27" s="43" t="s">
        <v>15</v>
      </c>
    </row>
    <row r="28" spans="1:44" ht="12" customHeight="1" thickBot="1" x14ac:dyDescent="0.25">
      <c r="A28" s="278"/>
      <c r="B28" s="279"/>
      <c r="C28" s="280"/>
      <c r="D28" s="278"/>
      <c r="E28" s="280"/>
      <c r="F28" s="294"/>
      <c r="G28" s="92"/>
      <c r="H28" s="22"/>
      <c r="I28" s="22"/>
      <c r="J28" s="22"/>
      <c r="K28" s="22"/>
      <c r="L28" s="84"/>
      <c r="M28" s="124"/>
      <c r="N28" s="189"/>
      <c r="O28" s="192"/>
      <c r="P28" s="192"/>
      <c r="Q28" s="195"/>
      <c r="R28" s="164"/>
      <c r="S28" s="165"/>
      <c r="T28" s="165"/>
      <c r="U28" s="153"/>
      <c r="V28" s="153"/>
      <c r="W28" s="166"/>
      <c r="X28" s="73"/>
      <c r="AA28" s="81"/>
      <c r="AB28" s="81"/>
      <c r="AC28" s="81"/>
      <c r="AE28" s="266" t="e">
        <f>SUM(AE13:AE22)</f>
        <v>#VALUE!</v>
      </c>
      <c r="AF28" s="44">
        <f t="shared" ref="AF28:AF39" si="36">CountCcolor(R28,ColorRef)</f>
        <v>0</v>
      </c>
      <c r="AG28" s="44">
        <f t="shared" ref="AG28:AG39" si="37">CountCcolor(S28,ColorRef)</f>
        <v>0</v>
      </c>
      <c r="AH28" s="44">
        <f t="shared" ref="AH28:AH39" si="38">CountCcolor(T28,ColorRef)</f>
        <v>0</v>
      </c>
      <c r="AI28" s="44">
        <f t="shared" ref="AI28:AI39" si="39">CountCcolor(U28,ColorRef)</f>
        <v>0</v>
      </c>
      <c r="AJ28" s="44">
        <f t="shared" ref="AJ28:AJ39" si="40">CountCcolor(V28,ColorRef)</f>
        <v>0</v>
      </c>
      <c r="AK28" s="45">
        <f t="shared" ref="AK28:AK39" si="41">CountCcolor(W28,ColorRef)</f>
        <v>0</v>
      </c>
      <c r="AL28" s="46"/>
      <c r="AM28" s="47">
        <f>H31-H29</f>
        <v>0</v>
      </c>
      <c r="AN28" s="47" t="e">
        <f>#REF!-#REF!</f>
        <v>#REF!</v>
      </c>
      <c r="AO28" s="47">
        <f t="shared" ref="AO28" si="42">I31-I29</f>
        <v>0</v>
      </c>
      <c r="AP28" s="47">
        <f t="shared" ref="AP28" si="43">J31-J29</f>
        <v>0</v>
      </c>
      <c r="AQ28" s="47">
        <f t="shared" ref="AQ28" si="44">K31-K29</f>
        <v>0</v>
      </c>
      <c r="AR28" s="47">
        <f t="shared" ref="AR28" si="45">L31-L29</f>
        <v>0</v>
      </c>
    </row>
    <row r="29" spans="1:44" ht="12" customHeight="1" thickBot="1" x14ac:dyDescent="0.25">
      <c r="A29" s="281"/>
      <c r="B29" s="282"/>
      <c r="C29" s="283"/>
      <c r="D29" s="281"/>
      <c r="E29" s="283"/>
      <c r="F29" s="295"/>
      <c r="H29" s="147"/>
      <c r="I29" s="147"/>
      <c r="J29" s="147"/>
      <c r="K29" s="147"/>
      <c r="L29" s="131"/>
      <c r="M29" s="125"/>
      <c r="N29" s="190"/>
      <c r="O29" s="193"/>
      <c r="P29" s="193"/>
      <c r="Q29" s="196"/>
      <c r="R29" s="151"/>
      <c r="S29" s="150"/>
      <c r="T29" s="154"/>
      <c r="U29" s="150"/>
      <c r="V29" s="154"/>
      <c r="W29" s="162"/>
      <c r="X29" s="73"/>
      <c r="AA29" s="81"/>
      <c r="AB29" s="81"/>
      <c r="AC29" s="81"/>
      <c r="AE29" s="267"/>
      <c r="AF29" s="83">
        <f t="shared" si="36"/>
        <v>0</v>
      </c>
      <c r="AG29" s="48">
        <f t="shared" si="37"/>
        <v>0</v>
      </c>
      <c r="AH29" s="48">
        <f t="shared" si="38"/>
        <v>0</v>
      </c>
      <c r="AI29" s="48">
        <f t="shared" si="39"/>
        <v>0</v>
      </c>
      <c r="AJ29" s="48">
        <f t="shared" si="40"/>
        <v>0</v>
      </c>
      <c r="AK29" s="49">
        <f t="shared" si="41"/>
        <v>0</v>
      </c>
      <c r="AL29" s="46"/>
      <c r="AM29" s="47">
        <f>SUM(AF28:AF33)</f>
        <v>0</v>
      </c>
      <c r="AN29" s="47">
        <f t="shared" ref="AN29" si="46">SUM(AG28:AG33)</f>
        <v>0</v>
      </c>
      <c r="AO29" s="47">
        <f t="shared" ref="AO29" si="47">SUM(AH28:AH33)</f>
        <v>0</v>
      </c>
      <c r="AP29" s="47">
        <f t="shared" ref="AP29" si="48">SUM(AI28:AI33)</f>
        <v>0</v>
      </c>
      <c r="AQ29" s="47">
        <f t="shared" ref="AQ29" si="49">SUM(AJ28:AJ33)</f>
        <v>0</v>
      </c>
      <c r="AR29" s="47">
        <f t="shared" ref="AR29" si="50">SUM(AK28:AK33)</f>
        <v>0</v>
      </c>
    </row>
    <row r="30" spans="1:44" ht="12" customHeight="1" thickBot="1" x14ac:dyDescent="0.25">
      <c r="A30" s="281"/>
      <c r="B30" s="282"/>
      <c r="C30" s="283"/>
      <c r="D30" s="281"/>
      <c r="E30" s="283"/>
      <c r="F30" s="295"/>
      <c r="H30" s="147"/>
      <c r="I30" s="147"/>
      <c r="J30" s="147"/>
      <c r="K30" s="147"/>
      <c r="L30" s="131"/>
      <c r="M30" s="125"/>
      <c r="N30" s="190"/>
      <c r="O30" s="193"/>
      <c r="P30" s="193"/>
      <c r="Q30" s="196"/>
      <c r="R30" s="149"/>
      <c r="S30" s="150"/>
      <c r="T30" s="150"/>
      <c r="U30" s="150"/>
      <c r="V30" s="150"/>
      <c r="W30" s="162"/>
      <c r="X30" s="73"/>
      <c r="Y30" s="81"/>
      <c r="Z30" s="81"/>
      <c r="AA30" s="81"/>
      <c r="AB30" s="81"/>
      <c r="AC30" s="81"/>
      <c r="AE30" s="267"/>
      <c r="AF30" s="83">
        <f t="shared" si="36"/>
        <v>0</v>
      </c>
      <c r="AG30" s="48">
        <f t="shared" si="37"/>
        <v>0</v>
      </c>
      <c r="AH30" s="48">
        <f t="shared" si="38"/>
        <v>0</v>
      </c>
      <c r="AI30" s="48">
        <f t="shared" si="39"/>
        <v>0</v>
      </c>
      <c r="AJ30" s="48">
        <f t="shared" si="40"/>
        <v>0</v>
      </c>
      <c r="AK30" s="49">
        <f t="shared" si="41"/>
        <v>0</v>
      </c>
      <c r="AL30" s="46"/>
      <c r="AM30" s="47">
        <f>AM29*AM28</f>
        <v>0</v>
      </c>
      <c r="AN30" s="47" t="e">
        <f t="shared" ref="AN30:AR30" si="51">AN29*AN28</f>
        <v>#REF!</v>
      </c>
      <c r="AO30" s="47">
        <f t="shared" si="51"/>
        <v>0</v>
      </c>
      <c r="AP30" s="47">
        <f t="shared" si="51"/>
        <v>0</v>
      </c>
      <c r="AQ30" s="47">
        <f t="shared" si="51"/>
        <v>0</v>
      </c>
      <c r="AR30" s="47">
        <f t="shared" si="51"/>
        <v>0</v>
      </c>
    </row>
    <row r="31" spans="1:44" ht="12" customHeight="1" thickBot="1" x14ac:dyDescent="0.25">
      <c r="A31" s="281"/>
      <c r="B31" s="282"/>
      <c r="C31" s="283"/>
      <c r="D31" s="281"/>
      <c r="E31" s="283"/>
      <c r="F31" s="295"/>
      <c r="H31" s="147"/>
      <c r="I31" s="147"/>
      <c r="J31" s="147"/>
      <c r="K31" s="147"/>
      <c r="L31" s="131"/>
      <c r="M31" s="125"/>
      <c r="N31" s="190"/>
      <c r="O31" s="193"/>
      <c r="P31" s="193"/>
      <c r="Q31" s="196"/>
      <c r="R31" s="149"/>
      <c r="S31" s="150"/>
      <c r="T31" s="150"/>
      <c r="U31" s="161"/>
      <c r="V31" s="150"/>
      <c r="W31" s="162"/>
      <c r="AE31" s="267"/>
      <c r="AF31" s="83">
        <f t="shared" si="36"/>
        <v>0</v>
      </c>
      <c r="AG31" s="48">
        <f t="shared" si="37"/>
        <v>0</v>
      </c>
      <c r="AH31" s="48">
        <f t="shared" si="38"/>
        <v>0</v>
      </c>
      <c r="AI31" s="48">
        <f t="shared" si="39"/>
        <v>0</v>
      </c>
      <c r="AJ31" s="48">
        <f t="shared" si="40"/>
        <v>0</v>
      </c>
      <c r="AK31" s="49">
        <f t="shared" si="41"/>
        <v>0</v>
      </c>
      <c r="AL31" s="46"/>
      <c r="AM31" s="47"/>
      <c r="AN31" s="47"/>
      <c r="AO31" s="50" t="e">
        <f>SUM(AM30:AR30)</f>
        <v>#REF!</v>
      </c>
      <c r="AP31" s="47"/>
      <c r="AQ31" s="47"/>
      <c r="AR31" s="47"/>
    </row>
    <row r="32" spans="1:44" ht="12" customHeight="1" thickBot="1" x14ac:dyDescent="0.25">
      <c r="A32" s="281"/>
      <c r="B32" s="282"/>
      <c r="C32" s="283"/>
      <c r="D32" s="281"/>
      <c r="E32" s="283"/>
      <c r="F32" s="295"/>
      <c r="H32" s="160"/>
      <c r="I32" s="21"/>
      <c r="J32" s="21"/>
      <c r="K32" s="21"/>
      <c r="L32" s="131"/>
      <c r="M32" s="125"/>
      <c r="N32" s="190"/>
      <c r="O32" s="193"/>
      <c r="P32" s="193"/>
      <c r="Q32" s="196"/>
      <c r="R32" s="157"/>
      <c r="S32" s="158"/>
      <c r="T32" s="158"/>
      <c r="U32" s="158"/>
      <c r="V32" s="158"/>
      <c r="W32" s="162"/>
      <c r="AE32" s="267"/>
      <c r="AF32" s="148"/>
      <c r="AG32" s="148"/>
      <c r="AH32" s="148"/>
      <c r="AI32" s="148"/>
      <c r="AJ32" s="148"/>
      <c r="AK32" s="49"/>
      <c r="AL32" s="46"/>
      <c r="AM32" s="47"/>
      <c r="AN32" s="47"/>
      <c r="AO32" s="50"/>
      <c r="AP32" s="47"/>
      <c r="AQ32" s="47"/>
      <c r="AR32" s="47"/>
    </row>
    <row r="33" spans="1:44" ht="13.5" customHeight="1" thickBot="1" x14ac:dyDescent="0.25">
      <c r="A33" s="284"/>
      <c r="B33" s="285"/>
      <c r="C33" s="286"/>
      <c r="D33" s="284"/>
      <c r="E33" s="286"/>
      <c r="F33" s="296"/>
      <c r="G33" s="94"/>
      <c r="H33" s="23"/>
      <c r="I33" s="23"/>
      <c r="J33" s="23"/>
      <c r="K33" s="23"/>
      <c r="L33" s="132"/>
      <c r="M33" s="126"/>
      <c r="N33" s="191"/>
      <c r="O33" s="194"/>
      <c r="P33" s="194"/>
      <c r="Q33" s="197"/>
      <c r="R33" s="159"/>
      <c r="S33" s="152"/>
      <c r="T33" s="152"/>
      <c r="U33" s="152"/>
      <c r="V33" s="152"/>
      <c r="W33" s="167"/>
      <c r="AE33" s="268"/>
      <c r="AF33" s="51">
        <f t="shared" si="36"/>
        <v>0</v>
      </c>
      <c r="AG33" s="51">
        <f t="shared" si="37"/>
        <v>0</v>
      </c>
      <c r="AH33" s="51">
        <f t="shared" si="38"/>
        <v>0</v>
      </c>
      <c r="AI33" s="51">
        <f t="shared" si="39"/>
        <v>0</v>
      </c>
      <c r="AJ33" s="51">
        <f t="shared" si="40"/>
        <v>0</v>
      </c>
      <c r="AK33" s="52">
        <f t="shared" si="41"/>
        <v>0</v>
      </c>
      <c r="AL33" s="46"/>
      <c r="AM33" s="47"/>
      <c r="AN33" s="47"/>
      <c r="AO33" s="47"/>
      <c r="AP33" s="47"/>
      <c r="AQ33" s="47"/>
      <c r="AR33" s="47"/>
    </row>
    <row r="34" spans="1:44" ht="12" customHeight="1" thickBot="1" x14ac:dyDescent="0.25">
      <c r="A34" s="278"/>
      <c r="B34" s="279"/>
      <c r="C34" s="280"/>
      <c r="D34" s="278"/>
      <c r="E34" s="280"/>
      <c r="F34" s="278"/>
      <c r="G34" s="92"/>
      <c r="H34" s="22"/>
      <c r="I34" s="22"/>
      <c r="J34" s="22"/>
      <c r="K34" s="22"/>
      <c r="L34" s="133"/>
      <c r="M34" s="128"/>
      <c r="N34" s="189"/>
      <c r="O34" s="192"/>
      <c r="P34" s="192"/>
      <c r="Q34" s="195"/>
      <c r="R34" s="164"/>
      <c r="S34" s="165"/>
      <c r="T34" s="165"/>
      <c r="U34" s="153"/>
      <c r="V34" s="153"/>
      <c r="W34" s="166"/>
      <c r="X34" s="73"/>
      <c r="AA34" s="81"/>
      <c r="AB34" s="81"/>
      <c r="AC34" s="81"/>
      <c r="AE34" s="266">
        <f>AO37</f>
        <v>0</v>
      </c>
      <c r="AF34" s="44">
        <f t="shared" si="36"/>
        <v>0</v>
      </c>
      <c r="AG34" s="44">
        <f t="shared" si="37"/>
        <v>0</v>
      </c>
      <c r="AH34" s="44">
        <f t="shared" si="38"/>
        <v>0</v>
      </c>
      <c r="AI34" s="44">
        <f t="shared" si="39"/>
        <v>0</v>
      </c>
      <c r="AJ34" s="44">
        <f t="shared" si="40"/>
        <v>0</v>
      </c>
      <c r="AK34" s="45">
        <f t="shared" si="41"/>
        <v>0</v>
      </c>
      <c r="AL34" s="46"/>
      <c r="AM34" s="47">
        <f>G37-G35</f>
        <v>0</v>
      </c>
      <c r="AN34" s="47">
        <f t="shared" ref="AN34" si="52">H37-H35</f>
        <v>0</v>
      </c>
      <c r="AO34" s="47">
        <f t="shared" ref="AO34" si="53">I37-I35</f>
        <v>0</v>
      </c>
      <c r="AP34" s="47">
        <f t="shared" ref="AP34" si="54">J37-J35</f>
        <v>0</v>
      </c>
      <c r="AQ34" s="47">
        <f t="shared" ref="AQ34" si="55">K37-K35</f>
        <v>0</v>
      </c>
      <c r="AR34" s="47">
        <f t="shared" ref="AR34" si="56">L37-L35</f>
        <v>0</v>
      </c>
    </row>
    <row r="35" spans="1:44" ht="12" customHeight="1" thickBot="1" x14ac:dyDescent="0.25">
      <c r="A35" s="281"/>
      <c r="B35" s="282"/>
      <c r="C35" s="283"/>
      <c r="D35" s="281"/>
      <c r="E35" s="283"/>
      <c r="F35" s="281"/>
      <c r="G35" s="145"/>
      <c r="H35" s="146"/>
      <c r="I35" s="146"/>
      <c r="J35" s="146"/>
      <c r="K35" s="147"/>
      <c r="L35" s="131"/>
      <c r="M35" s="129"/>
      <c r="N35" s="190"/>
      <c r="O35" s="193"/>
      <c r="P35" s="193"/>
      <c r="Q35" s="196"/>
      <c r="R35" s="151"/>
      <c r="S35" s="150"/>
      <c r="T35" s="154"/>
      <c r="U35" s="150"/>
      <c r="V35" s="154"/>
      <c r="W35" s="162"/>
      <c r="X35" s="73"/>
      <c r="AA35" s="81"/>
      <c r="AB35" s="81"/>
      <c r="AC35" s="81"/>
      <c r="AE35" s="267"/>
      <c r="AF35" s="83">
        <f t="shared" si="36"/>
        <v>0</v>
      </c>
      <c r="AG35" s="83">
        <f t="shared" si="37"/>
        <v>0</v>
      </c>
      <c r="AH35" s="83">
        <f t="shared" si="38"/>
        <v>0</v>
      </c>
      <c r="AI35" s="83">
        <f t="shared" si="39"/>
        <v>0</v>
      </c>
      <c r="AJ35" s="83">
        <f t="shared" si="40"/>
        <v>0</v>
      </c>
      <c r="AK35" s="49">
        <f t="shared" si="41"/>
        <v>0</v>
      </c>
      <c r="AL35" s="46"/>
      <c r="AM35" s="47">
        <f>SUM(AF34:AF39)</f>
        <v>0</v>
      </c>
      <c r="AN35" s="47">
        <f t="shared" ref="AN35" si="57">SUM(AG34:AG39)</f>
        <v>0</v>
      </c>
      <c r="AO35" s="47">
        <f t="shared" ref="AO35" si="58">SUM(AH34:AH39)</f>
        <v>0</v>
      </c>
      <c r="AP35" s="47">
        <f t="shared" ref="AP35" si="59">SUM(AI34:AI39)</f>
        <v>0</v>
      </c>
      <c r="AQ35" s="47">
        <f t="shared" ref="AQ35" si="60">SUM(AJ34:AJ39)</f>
        <v>0</v>
      </c>
      <c r="AR35" s="47">
        <f t="shared" ref="AR35" si="61">SUM(AK34:AK39)</f>
        <v>0</v>
      </c>
    </row>
    <row r="36" spans="1:44" ht="12" customHeight="1" thickBot="1" x14ac:dyDescent="0.25">
      <c r="A36" s="281"/>
      <c r="B36" s="282"/>
      <c r="C36" s="283"/>
      <c r="D36" s="281"/>
      <c r="E36" s="283"/>
      <c r="F36" s="281"/>
      <c r="G36" s="145"/>
      <c r="H36" s="146"/>
      <c r="I36" s="146"/>
      <c r="J36" s="146"/>
      <c r="K36" s="147"/>
      <c r="L36" s="131"/>
      <c r="M36" s="129"/>
      <c r="N36" s="190"/>
      <c r="O36" s="193"/>
      <c r="P36" s="193"/>
      <c r="Q36" s="196"/>
      <c r="R36" s="149"/>
      <c r="S36" s="150"/>
      <c r="T36" s="150"/>
      <c r="U36" s="150"/>
      <c r="V36" s="150"/>
      <c r="W36" s="162"/>
      <c r="X36" s="73"/>
      <c r="Y36" s="81"/>
      <c r="Z36" s="81"/>
      <c r="AA36" s="81"/>
      <c r="AB36" s="81"/>
      <c r="AC36" s="81"/>
      <c r="AE36" s="267"/>
      <c r="AF36" s="83">
        <f t="shared" si="36"/>
        <v>0</v>
      </c>
      <c r="AG36" s="83">
        <f t="shared" si="37"/>
        <v>0</v>
      </c>
      <c r="AH36" s="83">
        <f t="shared" si="38"/>
        <v>0</v>
      </c>
      <c r="AI36" s="83">
        <f t="shared" si="39"/>
        <v>0</v>
      </c>
      <c r="AJ36" s="83">
        <f t="shared" si="40"/>
        <v>0</v>
      </c>
      <c r="AK36" s="49">
        <f t="shared" si="41"/>
        <v>0</v>
      </c>
      <c r="AL36" s="46"/>
      <c r="AM36" s="47">
        <f>AM35*AM34</f>
        <v>0</v>
      </c>
      <c r="AN36" s="47">
        <f t="shared" ref="AN36:AR36" si="62">AN35*AN34</f>
        <v>0</v>
      </c>
      <c r="AO36" s="47">
        <f t="shared" si="62"/>
        <v>0</v>
      </c>
      <c r="AP36" s="47">
        <f t="shared" si="62"/>
        <v>0</v>
      </c>
      <c r="AQ36" s="47">
        <f t="shared" si="62"/>
        <v>0</v>
      </c>
      <c r="AR36" s="47">
        <f t="shared" si="62"/>
        <v>0</v>
      </c>
    </row>
    <row r="37" spans="1:44" ht="12" customHeight="1" thickBot="1" x14ac:dyDescent="0.25">
      <c r="A37" s="281"/>
      <c r="B37" s="282"/>
      <c r="C37" s="283"/>
      <c r="D37" s="281"/>
      <c r="E37" s="283"/>
      <c r="F37" s="281"/>
      <c r="G37" s="145"/>
      <c r="H37" s="146"/>
      <c r="I37" s="146"/>
      <c r="J37" s="146"/>
      <c r="K37" s="146"/>
      <c r="L37" s="131"/>
      <c r="M37" s="129"/>
      <c r="N37" s="190"/>
      <c r="O37" s="193"/>
      <c r="P37" s="193"/>
      <c r="Q37" s="196"/>
      <c r="R37" s="149"/>
      <c r="S37" s="150"/>
      <c r="T37" s="150"/>
      <c r="U37" s="161"/>
      <c r="V37" s="150"/>
      <c r="W37" s="162"/>
      <c r="AE37" s="267"/>
      <c r="AF37" s="83">
        <f t="shared" si="36"/>
        <v>0</v>
      </c>
      <c r="AG37" s="83">
        <f t="shared" si="37"/>
        <v>0</v>
      </c>
      <c r="AH37" s="83">
        <f t="shared" si="38"/>
        <v>0</v>
      </c>
      <c r="AI37" s="83">
        <f t="shared" si="39"/>
        <v>0</v>
      </c>
      <c r="AJ37" s="83">
        <f t="shared" si="40"/>
        <v>0</v>
      </c>
      <c r="AK37" s="49">
        <f t="shared" si="41"/>
        <v>0</v>
      </c>
      <c r="AL37" s="46"/>
      <c r="AM37" s="47"/>
      <c r="AN37" s="47"/>
      <c r="AO37" s="50">
        <f>SUM(AM36:AR36)</f>
        <v>0</v>
      </c>
      <c r="AP37" s="47"/>
      <c r="AQ37" s="47"/>
      <c r="AR37" s="47"/>
    </row>
    <row r="38" spans="1:44" ht="12" customHeight="1" thickBot="1" x14ac:dyDescent="0.25">
      <c r="A38" s="281"/>
      <c r="B38" s="282"/>
      <c r="C38" s="283"/>
      <c r="D38" s="281"/>
      <c r="E38" s="283"/>
      <c r="F38" s="281"/>
      <c r="G38" s="163"/>
      <c r="H38" s="160"/>
      <c r="I38" s="160"/>
      <c r="J38" s="160"/>
      <c r="K38" s="160"/>
      <c r="L38" s="131"/>
      <c r="M38" s="129"/>
      <c r="N38" s="190"/>
      <c r="O38" s="193"/>
      <c r="P38" s="193"/>
      <c r="Q38" s="196"/>
      <c r="R38" s="157"/>
      <c r="S38" s="158"/>
      <c r="T38" s="158"/>
      <c r="U38" s="158"/>
      <c r="V38" s="158"/>
      <c r="W38" s="162"/>
      <c r="AE38" s="267"/>
      <c r="AF38" s="148"/>
      <c r="AG38" s="148"/>
      <c r="AH38" s="148"/>
      <c r="AI38" s="148"/>
      <c r="AJ38" s="148"/>
      <c r="AK38" s="49"/>
      <c r="AL38" s="46"/>
      <c r="AM38" s="47"/>
      <c r="AN38" s="47"/>
      <c r="AO38" s="50"/>
      <c r="AP38" s="47"/>
      <c r="AQ38" s="47"/>
      <c r="AR38" s="47"/>
    </row>
    <row r="39" spans="1:44" ht="13.5" thickBot="1" x14ac:dyDescent="0.25">
      <c r="A39" s="284"/>
      <c r="B39" s="285"/>
      <c r="C39" s="286"/>
      <c r="D39" s="284"/>
      <c r="E39" s="286"/>
      <c r="F39" s="284"/>
      <c r="G39" s="94"/>
      <c r="H39" s="23"/>
      <c r="I39" s="23"/>
      <c r="J39" s="23"/>
      <c r="K39" s="23"/>
      <c r="L39" s="132"/>
      <c r="M39" s="130"/>
      <c r="N39" s="191"/>
      <c r="O39" s="194"/>
      <c r="P39" s="194"/>
      <c r="Q39" s="197"/>
      <c r="R39" s="159"/>
      <c r="S39" s="152"/>
      <c r="T39" s="152"/>
      <c r="U39" s="152"/>
      <c r="V39" s="152"/>
      <c r="W39" s="167"/>
      <c r="AE39" s="268"/>
      <c r="AF39" s="51">
        <f t="shared" si="36"/>
        <v>0</v>
      </c>
      <c r="AG39" s="51">
        <f t="shared" si="37"/>
        <v>0</v>
      </c>
      <c r="AH39" s="51">
        <f t="shared" si="38"/>
        <v>0</v>
      </c>
      <c r="AI39" s="51">
        <f t="shared" si="39"/>
        <v>0</v>
      </c>
      <c r="AJ39" s="51">
        <f t="shared" si="40"/>
        <v>0</v>
      </c>
      <c r="AK39" s="52">
        <f t="shared" si="41"/>
        <v>0</v>
      </c>
      <c r="AL39" s="46"/>
      <c r="AM39" s="47"/>
      <c r="AN39" s="47"/>
      <c r="AO39" s="47"/>
      <c r="AP39" s="47"/>
      <c r="AQ39" s="47"/>
      <c r="AR39" s="47"/>
    </row>
    <row r="40" spans="1:44" ht="12" customHeight="1" thickBot="1" x14ac:dyDescent="0.25">
      <c r="A40" s="278"/>
      <c r="B40" s="279"/>
      <c r="C40" s="280"/>
      <c r="D40" s="278"/>
      <c r="E40" s="280"/>
      <c r="F40" s="278"/>
      <c r="G40" s="92"/>
      <c r="H40" s="22"/>
      <c r="I40" s="22"/>
      <c r="J40" s="22"/>
      <c r="K40" s="22"/>
      <c r="L40" s="133"/>
      <c r="M40" s="128"/>
      <c r="N40" s="189"/>
      <c r="O40" s="192"/>
      <c r="P40" s="192"/>
      <c r="Q40" s="195"/>
      <c r="R40" s="13"/>
      <c r="S40" s="9"/>
      <c r="T40" s="9"/>
      <c r="U40" s="9"/>
      <c r="V40" s="9"/>
      <c r="W40" s="10"/>
      <c r="X40" s="73"/>
      <c r="AA40" s="81"/>
      <c r="AB40" s="81"/>
      <c r="AC40" s="81"/>
      <c r="AE40" s="266">
        <f>AO43</f>
        <v>0</v>
      </c>
      <c r="AF40" s="44">
        <f t="shared" ref="AF40:AF44" si="63">CountCcolor(R40,ColorRef)</f>
        <v>0</v>
      </c>
      <c r="AG40" s="44">
        <f t="shared" ref="AG40:AG44" si="64">CountCcolor(S40,ColorRef)</f>
        <v>0</v>
      </c>
      <c r="AH40" s="44">
        <f t="shared" ref="AH40:AH44" si="65">CountCcolor(T40,ColorRef)</f>
        <v>0</v>
      </c>
      <c r="AI40" s="44">
        <f t="shared" ref="AI40:AI44" si="66">CountCcolor(U40,ColorRef)</f>
        <v>0</v>
      </c>
      <c r="AJ40" s="44">
        <f t="shared" ref="AJ40:AJ44" si="67">CountCcolor(V40,ColorRef)</f>
        <v>0</v>
      </c>
      <c r="AK40" s="45">
        <f t="shared" ref="AK40:AK44" si="68">CountCcolor(W40,ColorRef)</f>
        <v>0</v>
      </c>
      <c r="AL40" s="46"/>
      <c r="AM40" s="47">
        <f>G43-G41</f>
        <v>0</v>
      </c>
      <c r="AN40" s="47">
        <f t="shared" ref="AN40" si="69">H43-H41</f>
        <v>0</v>
      </c>
      <c r="AO40" s="47">
        <f t="shared" ref="AO40" si="70">I43-I41</f>
        <v>0</v>
      </c>
      <c r="AP40" s="47">
        <f t="shared" ref="AP40" si="71">J43-J41</f>
        <v>0</v>
      </c>
      <c r="AQ40" s="47">
        <f t="shared" ref="AQ40" si="72">K43-K41</f>
        <v>0</v>
      </c>
      <c r="AR40" s="47">
        <f t="shared" ref="AR40" si="73">L43-L41</f>
        <v>0</v>
      </c>
    </row>
    <row r="41" spans="1:44" ht="12" customHeight="1" thickBot="1" x14ac:dyDescent="0.25">
      <c r="A41" s="281"/>
      <c r="B41" s="282"/>
      <c r="C41" s="283"/>
      <c r="D41" s="281"/>
      <c r="E41" s="283"/>
      <c r="F41" s="281"/>
      <c r="G41" s="93"/>
      <c r="H41" s="21"/>
      <c r="I41" s="21"/>
      <c r="J41" s="21"/>
      <c r="K41" s="21"/>
      <c r="L41" s="131"/>
      <c r="M41" s="129"/>
      <c r="N41" s="190"/>
      <c r="O41" s="193"/>
      <c r="P41" s="193"/>
      <c r="Q41" s="196"/>
      <c r="R41" s="137"/>
      <c r="S41" s="138"/>
      <c r="T41" s="138"/>
      <c r="U41" s="7"/>
      <c r="V41" s="7"/>
      <c r="W41" s="8"/>
      <c r="X41" s="73"/>
      <c r="AA41" s="81"/>
      <c r="AB41" s="81"/>
      <c r="AC41" s="81"/>
      <c r="AE41" s="267"/>
      <c r="AF41" s="83">
        <f t="shared" si="63"/>
        <v>0</v>
      </c>
      <c r="AG41" s="83">
        <f t="shared" si="64"/>
        <v>0</v>
      </c>
      <c r="AH41" s="83">
        <f t="shared" si="65"/>
        <v>0</v>
      </c>
      <c r="AI41" s="83">
        <f t="shared" si="66"/>
        <v>0</v>
      </c>
      <c r="AJ41" s="83">
        <f t="shared" si="67"/>
        <v>0</v>
      </c>
      <c r="AK41" s="49">
        <f t="shared" si="68"/>
        <v>0</v>
      </c>
      <c r="AL41" s="46"/>
      <c r="AM41" s="47">
        <f>SUM(AF40:AF44)</f>
        <v>0</v>
      </c>
      <c r="AN41" s="47">
        <f t="shared" ref="AN41" si="74">SUM(AG40:AG44)</f>
        <v>0</v>
      </c>
      <c r="AO41" s="47">
        <f t="shared" ref="AO41" si="75">SUM(AH40:AH44)</f>
        <v>0</v>
      </c>
      <c r="AP41" s="47">
        <f t="shared" ref="AP41" si="76">SUM(AI40:AI44)</f>
        <v>0</v>
      </c>
      <c r="AQ41" s="47">
        <f t="shared" ref="AQ41" si="77">SUM(AJ40:AJ44)</f>
        <v>0</v>
      </c>
      <c r="AR41" s="47">
        <f t="shared" ref="AR41" si="78">SUM(AK40:AK44)</f>
        <v>0</v>
      </c>
    </row>
    <row r="42" spans="1:44" ht="12" customHeight="1" thickBot="1" x14ac:dyDescent="0.25">
      <c r="A42" s="281"/>
      <c r="B42" s="282"/>
      <c r="C42" s="283"/>
      <c r="D42" s="281"/>
      <c r="E42" s="283"/>
      <c r="F42" s="281"/>
      <c r="G42" s="93"/>
      <c r="H42" s="21"/>
      <c r="I42" s="21"/>
      <c r="J42" s="21"/>
      <c r="K42" s="21"/>
      <c r="L42" s="131"/>
      <c r="M42" s="129"/>
      <c r="N42" s="190"/>
      <c r="O42" s="193"/>
      <c r="P42" s="193"/>
      <c r="Q42" s="196"/>
      <c r="R42" s="137"/>
      <c r="S42" s="138"/>
      <c r="T42" s="138"/>
      <c r="U42" s="7"/>
      <c r="V42" s="7"/>
      <c r="W42" s="8"/>
      <c r="X42" s="73"/>
      <c r="Y42" s="81"/>
      <c r="Z42" s="81"/>
      <c r="AA42" s="81"/>
      <c r="AB42" s="81"/>
      <c r="AC42" s="81"/>
      <c r="AE42" s="267"/>
      <c r="AF42" s="83">
        <f t="shared" si="63"/>
        <v>0</v>
      </c>
      <c r="AG42" s="83">
        <f t="shared" si="64"/>
        <v>0</v>
      </c>
      <c r="AH42" s="83">
        <f t="shared" si="65"/>
        <v>0</v>
      </c>
      <c r="AI42" s="83">
        <f t="shared" si="66"/>
        <v>0</v>
      </c>
      <c r="AJ42" s="83">
        <f t="shared" si="67"/>
        <v>0</v>
      </c>
      <c r="AK42" s="49">
        <f t="shared" si="68"/>
        <v>0</v>
      </c>
      <c r="AL42" s="46"/>
      <c r="AM42" s="47">
        <f>AM41*AM40</f>
        <v>0</v>
      </c>
      <c r="AN42" s="47">
        <f t="shared" ref="AN42:AR42" si="79">AN41*AN40</f>
        <v>0</v>
      </c>
      <c r="AO42" s="47">
        <f t="shared" si="79"/>
        <v>0</v>
      </c>
      <c r="AP42" s="47">
        <f t="shared" si="79"/>
        <v>0</v>
      </c>
      <c r="AQ42" s="47">
        <f t="shared" si="79"/>
        <v>0</v>
      </c>
      <c r="AR42" s="47">
        <f t="shared" si="79"/>
        <v>0</v>
      </c>
    </row>
    <row r="43" spans="1:44" ht="12" customHeight="1" thickBot="1" x14ac:dyDescent="0.25">
      <c r="A43" s="281"/>
      <c r="B43" s="282"/>
      <c r="C43" s="283"/>
      <c r="D43" s="281"/>
      <c r="E43" s="283"/>
      <c r="F43" s="281"/>
      <c r="G43" s="93"/>
      <c r="H43" s="21"/>
      <c r="I43" s="21"/>
      <c r="J43" s="21"/>
      <c r="K43" s="21"/>
      <c r="L43" s="131"/>
      <c r="M43" s="129"/>
      <c r="N43" s="190"/>
      <c r="O43" s="193"/>
      <c r="P43" s="193"/>
      <c r="Q43" s="196"/>
      <c r="R43" s="137"/>
      <c r="S43" s="138"/>
      <c r="T43" s="138"/>
      <c r="U43" s="1"/>
      <c r="V43" s="1"/>
      <c r="W43" s="8"/>
      <c r="AE43" s="267"/>
      <c r="AF43" s="83">
        <f t="shared" si="63"/>
        <v>0</v>
      </c>
      <c r="AG43" s="83">
        <f t="shared" si="64"/>
        <v>0</v>
      </c>
      <c r="AH43" s="83">
        <f t="shared" si="65"/>
        <v>0</v>
      </c>
      <c r="AI43" s="83">
        <f t="shared" si="66"/>
        <v>0</v>
      </c>
      <c r="AJ43" s="83">
        <f t="shared" si="67"/>
        <v>0</v>
      </c>
      <c r="AK43" s="49">
        <f t="shared" si="68"/>
        <v>0</v>
      </c>
      <c r="AL43" s="46"/>
      <c r="AM43" s="47"/>
      <c r="AN43" s="47"/>
      <c r="AO43" s="50">
        <f>SUM(AM42:AR42)</f>
        <v>0</v>
      </c>
      <c r="AP43" s="47"/>
      <c r="AQ43" s="47"/>
      <c r="AR43" s="47"/>
    </row>
    <row r="44" spans="1:44" ht="13.5" thickBot="1" x14ac:dyDescent="0.25">
      <c r="A44" s="284"/>
      <c r="B44" s="285"/>
      <c r="C44" s="286"/>
      <c r="D44" s="284"/>
      <c r="E44" s="286"/>
      <c r="F44" s="284"/>
      <c r="G44" s="94"/>
      <c r="H44" s="23"/>
      <c r="I44" s="23"/>
      <c r="J44" s="23"/>
      <c r="K44" s="23"/>
      <c r="L44" s="127"/>
      <c r="M44" s="130"/>
      <c r="N44" s="191"/>
      <c r="O44" s="194"/>
      <c r="P44" s="194"/>
      <c r="Q44" s="197"/>
      <c r="R44" s="139"/>
      <c r="S44" s="140"/>
      <c r="T44" s="140"/>
      <c r="U44" s="2"/>
      <c r="V44" s="2"/>
      <c r="W44" s="11"/>
      <c r="AE44" s="268"/>
      <c r="AF44" s="51">
        <f t="shared" si="63"/>
        <v>0</v>
      </c>
      <c r="AG44" s="51">
        <f t="shared" si="64"/>
        <v>0</v>
      </c>
      <c r="AH44" s="51">
        <f t="shared" si="65"/>
        <v>0</v>
      </c>
      <c r="AI44" s="51">
        <f t="shared" si="66"/>
        <v>0</v>
      </c>
      <c r="AJ44" s="51">
        <f t="shared" si="67"/>
        <v>0</v>
      </c>
      <c r="AK44" s="52">
        <f t="shared" si="68"/>
        <v>0</v>
      </c>
      <c r="AL44" s="46"/>
      <c r="AM44" s="47"/>
      <c r="AN44" s="47"/>
      <c r="AO44" s="47"/>
      <c r="AP44" s="47"/>
      <c r="AQ44" s="47"/>
      <c r="AR44" s="47"/>
    </row>
    <row r="45" spans="1:44" ht="33.75" customHeight="1" thickBot="1" x14ac:dyDescent="0.25">
      <c r="A45" s="242"/>
      <c r="B45" s="242"/>
      <c r="C45" s="242"/>
      <c r="D45" s="242"/>
      <c r="E45" s="242"/>
      <c r="F45" s="242"/>
      <c r="G45" s="181" t="s">
        <v>33</v>
      </c>
      <c r="H45" s="182"/>
      <c r="I45" s="182"/>
      <c r="J45" s="182"/>
      <c r="K45" s="182"/>
      <c r="L45" s="182"/>
      <c r="M45" s="182"/>
      <c r="N45" s="182"/>
      <c r="O45" s="182"/>
      <c r="P45" s="230"/>
      <c r="Q45" s="54">
        <f>SUM(Q28:Q44)</f>
        <v>0</v>
      </c>
      <c r="R45" s="65"/>
      <c r="S45" s="65"/>
      <c r="T45" s="65"/>
      <c r="U45" s="65"/>
      <c r="V45" s="65"/>
      <c r="W45" s="66"/>
      <c r="X45" s="4"/>
      <c r="Y45" s="4"/>
      <c r="Z45" s="4"/>
      <c r="AA45" s="4"/>
      <c r="AB45" s="4"/>
      <c r="AC45" s="4"/>
      <c r="AD45" s="5"/>
      <c r="AE45" s="16"/>
      <c r="AF45" s="5"/>
      <c r="AG45" s="5"/>
      <c r="AH45" s="5"/>
      <c r="AI45" s="5"/>
      <c r="AM45" s="53"/>
      <c r="AN45" s="53"/>
      <c r="AO45" s="53"/>
      <c r="AP45" s="53"/>
    </row>
    <row r="46" spans="1:44" ht="32.25" customHeight="1" thickBot="1" x14ac:dyDescent="0.25">
      <c r="A46" s="5"/>
      <c r="B46" s="5"/>
      <c r="C46" s="5"/>
      <c r="E46" s="5"/>
      <c r="F46" s="5"/>
      <c r="G46" s="178" t="s">
        <v>48</v>
      </c>
      <c r="H46" s="179"/>
      <c r="I46" s="179"/>
      <c r="J46" s="179"/>
      <c r="K46" s="179"/>
      <c r="L46" s="179"/>
      <c r="M46" s="179"/>
      <c r="N46" s="179"/>
      <c r="O46" s="179"/>
      <c r="P46" s="180"/>
      <c r="Q46" s="68">
        <f>Q45+P23</f>
        <v>40</v>
      </c>
      <c r="X46" s="4"/>
      <c r="Y46" s="4"/>
      <c r="Z46" s="4"/>
      <c r="AA46" s="4"/>
      <c r="AB46" s="4"/>
      <c r="AC46" s="4"/>
      <c r="AD46" s="4"/>
      <c r="AE46" s="25"/>
      <c r="AF46" s="4"/>
      <c r="AG46" s="4"/>
      <c r="AH46" s="4"/>
      <c r="AI46" s="4"/>
      <c r="AM46" s="26"/>
      <c r="AN46" s="26"/>
      <c r="AO46" s="26"/>
      <c r="AP46" s="26"/>
    </row>
    <row r="47" spans="1:44" ht="12.75" customHeight="1" x14ac:dyDescent="0.2">
      <c r="A47" s="5"/>
      <c r="B47" s="5"/>
      <c r="C47" s="5"/>
      <c r="E47" s="5"/>
      <c r="F47" s="5"/>
      <c r="N47" s="5"/>
      <c r="O47" s="5"/>
      <c r="X47" s="4"/>
      <c r="Y47" s="4"/>
      <c r="Z47" s="4"/>
      <c r="AA47" s="4"/>
      <c r="AB47" s="4"/>
      <c r="AC47" s="4"/>
      <c r="AD47" s="4"/>
      <c r="AE47" s="25"/>
      <c r="AF47" s="4"/>
      <c r="AG47" s="4"/>
      <c r="AH47" s="4"/>
      <c r="AI47" s="4"/>
      <c r="AM47" s="26"/>
      <c r="AN47" s="26"/>
      <c r="AO47" s="26"/>
      <c r="AP47" s="26"/>
    </row>
    <row r="48" spans="1:44" ht="12.75" customHeight="1" x14ac:dyDescent="0.2">
      <c r="A48" s="5"/>
      <c r="B48" s="5"/>
      <c r="C48" s="5"/>
      <c r="E48" s="5"/>
      <c r="F48" s="5"/>
      <c r="N48" s="5"/>
      <c r="O48" s="5"/>
      <c r="X48" s="4"/>
      <c r="Y48" s="4"/>
      <c r="Z48" s="4"/>
      <c r="AA48" s="4"/>
      <c r="AB48" s="4"/>
      <c r="AC48" s="4"/>
      <c r="AD48" s="4"/>
      <c r="AE48" s="25"/>
      <c r="AF48" s="4"/>
      <c r="AG48" s="4"/>
      <c r="AH48" s="4"/>
      <c r="AI48" s="4"/>
      <c r="AM48" s="26"/>
      <c r="AN48" s="26"/>
      <c r="AO48" s="26"/>
      <c r="AP48" s="26"/>
    </row>
    <row r="49" spans="1:42" ht="12.75" customHeight="1" x14ac:dyDescent="0.2">
      <c r="A49" s="5"/>
      <c r="B49" s="5"/>
      <c r="C49" s="5"/>
      <c r="E49" s="5"/>
      <c r="F49" s="5"/>
      <c r="N49" s="5"/>
      <c r="O49" s="5"/>
      <c r="X49" s="4"/>
      <c r="Y49" s="4"/>
      <c r="Z49" s="4"/>
      <c r="AA49" s="4"/>
      <c r="AB49" s="4"/>
      <c r="AC49" s="4"/>
      <c r="AD49" s="4"/>
      <c r="AE49" s="25"/>
      <c r="AF49" s="4"/>
      <c r="AG49" s="4"/>
      <c r="AH49" s="4"/>
      <c r="AI49" s="4"/>
      <c r="AM49" s="26"/>
      <c r="AN49" s="26"/>
      <c r="AO49" s="26"/>
      <c r="AP49" s="26"/>
    </row>
    <row r="50" spans="1:42" ht="12.75" customHeight="1" x14ac:dyDescent="0.2">
      <c r="A50" s="5"/>
      <c r="B50" s="5"/>
      <c r="C50" s="5"/>
      <c r="E50" s="5"/>
      <c r="F50" s="5"/>
      <c r="N50" s="5"/>
      <c r="O50" s="5"/>
      <c r="X50" s="4"/>
      <c r="Y50" s="4"/>
      <c r="Z50" s="4"/>
      <c r="AA50" s="4"/>
      <c r="AB50" s="4"/>
      <c r="AC50" s="4"/>
      <c r="AD50" s="4"/>
      <c r="AE50" s="25"/>
      <c r="AF50" s="4"/>
      <c r="AG50" s="4"/>
      <c r="AH50" s="4"/>
      <c r="AI50" s="4"/>
      <c r="AM50" s="4"/>
      <c r="AN50" s="4">
        <v>7</v>
      </c>
      <c r="AO50" s="5"/>
      <c r="AP50" s="26"/>
    </row>
    <row r="51" spans="1:42" ht="12.75" customHeight="1" x14ac:dyDescent="0.2">
      <c r="A51" s="5"/>
      <c r="B51" s="5"/>
      <c r="C51" s="5"/>
      <c r="E51" s="5"/>
      <c r="F51" s="5"/>
      <c r="N51" s="5"/>
      <c r="O51" s="5"/>
      <c r="X51" s="4"/>
      <c r="Y51" s="4"/>
      <c r="Z51" s="4"/>
      <c r="AA51" s="4"/>
      <c r="AB51" s="4"/>
      <c r="AC51" s="4"/>
      <c r="AD51" s="4"/>
      <c r="AE51" s="25"/>
      <c r="AF51" s="4"/>
      <c r="AG51" s="4"/>
      <c r="AH51" s="4"/>
      <c r="AI51" s="4"/>
      <c r="AM51" s="4"/>
      <c r="AN51" s="4" t="s">
        <v>50</v>
      </c>
      <c r="AO51" s="4">
        <f>AN50*6.4</f>
        <v>44.800000000000004</v>
      </c>
      <c r="AP51" s="26"/>
    </row>
    <row r="52" spans="1:42" ht="12.75" customHeight="1" x14ac:dyDescent="0.2">
      <c r="A52" s="5"/>
      <c r="B52" s="5"/>
      <c r="C52" s="5"/>
      <c r="E52" s="5"/>
      <c r="F52" s="5"/>
      <c r="N52" s="5"/>
      <c r="O52" s="5"/>
      <c r="X52" s="4"/>
      <c r="Y52" s="4"/>
      <c r="Z52" s="4"/>
      <c r="AA52" s="4"/>
      <c r="AB52" s="4"/>
      <c r="AC52" s="4"/>
      <c r="AD52" s="4"/>
      <c r="AE52" s="25"/>
      <c r="AF52" s="4"/>
      <c r="AG52" s="4"/>
      <c r="AH52" s="4"/>
      <c r="AI52" s="4"/>
      <c r="AM52" s="4"/>
      <c r="AN52" s="4" t="s">
        <v>46</v>
      </c>
      <c r="AO52" s="4">
        <f>(8.5-6.4)*AN50</f>
        <v>14.699999999999998</v>
      </c>
      <c r="AP52" s="26"/>
    </row>
    <row r="53" spans="1:42" ht="12.75" customHeight="1" x14ac:dyDescent="0.2">
      <c r="A53" s="5"/>
      <c r="B53" s="5"/>
      <c r="C53" s="5"/>
      <c r="E53" s="5"/>
      <c r="F53" s="5"/>
      <c r="N53" s="5"/>
      <c r="O53" s="5"/>
      <c r="X53" s="4"/>
      <c r="Y53" s="4"/>
      <c r="Z53" s="4"/>
      <c r="AA53" s="4"/>
      <c r="AB53" s="4"/>
      <c r="AC53" s="4"/>
      <c r="AD53" s="4"/>
      <c r="AE53" s="25"/>
      <c r="AF53" s="4"/>
      <c r="AG53" s="4"/>
      <c r="AH53" s="4"/>
      <c r="AI53" s="4"/>
      <c r="AM53" s="4"/>
      <c r="AN53" s="4"/>
      <c r="AO53" s="4">
        <f>(8.5)*9</f>
        <v>76.5</v>
      </c>
      <c r="AP53" s="26"/>
    </row>
    <row r="54" spans="1:42" ht="12.75" customHeight="1" x14ac:dyDescent="0.2">
      <c r="A54" s="5"/>
      <c r="B54" s="5"/>
      <c r="C54" s="5"/>
      <c r="E54" s="5"/>
      <c r="F54" s="5"/>
      <c r="N54" s="5"/>
      <c r="O54" s="5"/>
      <c r="X54" s="4"/>
      <c r="Y54" s="4"/>
      <c r="Z54" s="4"/>
      <c r="AA54" s="4"/>
      <c r="AB54" s="4"/>
      <c r="AC54" s="4"/>
      <c r="AD54" s="4"/>
      <c r="AE54" s="25"/>
      <c r="AF54" s="4"/>
      <c r="AG54" s="4"/>
      <c r="AH54" s="4"/>
      <c r="AI54" s="4"/>
      <c r="AM54" s="4"/>
      <c r="AN54" s="4"/>
      <c r="AO54" s="5">
        <f>AO53+AO52</f>
        <v>91.2</v>
      </c>
      <c r="AP54" s="26"/>
    </row>
    <row r="55" spans="1:42" ht="12.75" customHeight="1" x14ac:dyDescent="0.2">
      <c r="A55" s="5"/>
      <c r="B55" s="5"/>
      <c r="C55" s="5"/>
      <c r="E55" s="5"/>
      <c r="F55" s="5"/>
      <c r="N55" s="5"/>
      <c r="O55" s="5"/>
      <c r="X55" s="4"/>
      <c r="Y55" s="4"/>
      <c r="Z55" s="4"/>
      <c r="AA55" s="4"/>
      <c r="AB55" s="4"/>
      <c r="AC55" s="4"/>
      <c r="AD55" s="4"/>
      <c r="AE55" s="25"/>
      <c r="AF55" s="4"/>
      <c r="AG55" s="4"/>
      <c r="AH55" s="4"/>
      <c r="AI55" s="4"/>
      <c r="AM55" s="4"/>
      <c r="AN55" s="4"/>
      <c r="AO55" s="5"/>
      <c r="AP55" s="26"/>
    </row>
    <row r="56" spans="1:42" ht="12.75" customHeight="1" x14ac:dyDescent="0.2">
      <c r="A56" s="5"/>
      <c r="B56" s="5"/>
      <c r="C56" s="5"/>
      <c r="E56" s="5"/>
      <c r="F56" s="5"/>
      <c r="N56" s="5"/>
      <c r="O56" s="5"/>
      <c r="X56" s="4"/>
      <c r="Y56" s="4"/>
      <c r="Z56" s="4"/>
      <c r="AA56" s="4"/>
      <c r="AB56" s="4"/>
      <c r="AC56" s="4"/>
      <c r="AD56" s="4"/>
      <c r="AE56" s="25"/>
      <c r="AF56" s="4"/>
      <c r="AG56" s="4"/>
      <c r="AH56" s="4"/>
      <c r="AI56" s="4"/>
      <c r="AM56" s="4"/>
      <c r="AN56" s="4"/>
      <c r="AO56" s="5"/>
      <c r="AP56" s="26"/>
    </row>
    <row r="57" spans="1:42" ht="12.75" customHeight="1" x14ac:dyDescent="0.2">
      <c r="A57" s="5"/>
      <c r="B57" s="5"/>
      <c r="C57" s="5"/>
      <c r="E57" s="5"/>
      <c r="F57" s="5"/>
      <c r="N57" s="5"/>
      <c r="O57" s="5"/>
      <c r="X57" s="4"/>
      <c r="Y57" s="4"/>
      <c r="Z57" s="4"/>
      <c r="AA57" s="4"/>
      <c r="AB57" s="4"/>
      <c r="AC57" s="4"/>
      <c r="AD57" s="4"/>
      <c r="AE57" s="25"/>
      <c r="AF57" s="4"/>
      <c r="AG57" s="4"/>
      <c r="AH57" s="4"/>
      <c r="AI57" s="4"/>
      <c r="AM57" s="4"/>
      <c r="AN57" s="4"/>
      <c r="AO57" s="5"/>
      <c r="AP57" s="26"/>
    </row>
    <row r="58" spans="1:42" ht="12.75" customHeight="1" x14ac:dyDescent="0.2">
      <c r="A58" s="5"/>
      <c r="B58" s="5"/>
      <c r="C58" s="5"/>
      <c r="E58" s="5"/>
      <c r="F58" s="5"/>
      <c r="N58" s="5"/>
      <c r="O58" s="5"/>
      <c r="X58" s="4"/>
      <c r="Y58" s="4"/>
      <c r="Z58" s="4"/>
      <c r="AA58" s="4"/>
      <c r="AB58" s="4"/>
      <c r="AC58" s="4"/>
      <c r="AD58" s="4"/>
      <c r="AE58" s="25"/>
      <c r="AF58" s="4"/>
      <c r="AG58" s="4"/>
      <c r="AH58" s="4"/>
      <c r="AI58" s="4"/>
      <c r="AM58" s="4"/>
      <c r="AN58" s="4"/>
      <c r="AO58" s="5">
        <f>16*8.5</f>
        <v>136</v>
      </c>
      <c r="AP58" s="26"/>
    </row>
    <row r="59" spans="1:42" ht="12.75" customHeight="1" x14ac:dyDescent="0.2">
      <c r="A59" s="5"/>
      <c r="B59" s="5"/>
      <c r="C59" s="5"/>
      <c r="E59" s="5"/>
      <c r="F59" s="5"/>
      <c r="N59" s="5"/>
      <c r="O59" s="5"/>
      <c r="X59" s="4"/>
      <c r="Y59" s="4"/>
      <c r="Z59" s="4"/>
      <c r="AA59" s="4"/>
      <c r="AB59" s="4"/>
      <c r="AC59" s="4"/>
      <c r="AD59" s="4"/>
      <c r="AE59" s="25"/>
      <c r="AF59" s="4"/>
      <c r="AG59" s="4"/>
      <c r="AH59" s="4"/>
      <c r="AI59" s="4"/>
      <c r="AM59" s="26"/>
      <c r="AN59" s="26"/>
      <c r="AO59" s="26"/>
      <c r="AP59" s="26"/>
    </row>
    <row r="60" spans="1:42" ht="12.75" customHeight="1" x14ac:dyDescent="0.2">
      <c r="A60" s="5"/>
      <c r="B60" s="5"/>
      <c r="C60" s="5"/>
      <c r="E60" s="5"/>
      <c r="F60" s="5"/>
      <c r="N60" s="5"/>
      <c r="O60" s="5"/>
      <c r="X60" s="4"/>
      <c r="Y60" s="4"/>
      <c r="Z60" s="4"/>
      <c r="AA60" s="4"/>
      <c r="AB60" s="4"/>
      <c r="AC60" s="4"/>
      <c r="AD60" s="4"/>
      <c r="AE60" s="25"/>
      <c r="AF60" s="4"/>
      <c r="AG60" s="4"/>
      <c r="AH60" s="4"/>
      <c r="AI60" s="4"/>
      <c r="AM60" s="26"/>
      <c r="AN60" s="26"/>
      <c r="AO60" s="26"/>
      <c r="AP60" s="26"/>
    </row>
    <row r="61" spans="1:42" ht="12.75" customHeight="1" x14ac:dyDescent="0.2">
      <c r="A61" s="5"/>
      <c r="B61" s="5"/>
      <c r="C61" s="5"/>
      <c r="E61" s="5"/>
      <c r="F61" s="5"/>
      <c r="N61" s="5"/>
      <c r="O61" s="5"/>
      <c r="X61" s="4"/>
      <c r="Y61" s="4"/>
      <c r="Z61" s="4"/>
      <c r="AA61" s="4"/>
      <c r="AB61" s="4"/>
      <c r="AC61" s="4"/>
      <c r="AD61" s="4"/>
      <c r="AE61" s="25"/>
      <c r="AF61" s="4"/>
      <c r="AG61" s="4"/>
      <c r="AH61" s="4"/>
      <c r="AI61" s="4"/>
      <c r="AM61" s="26"/>
      <c r="AN61" s="26"/>
      <c r="AO61" s="26"/>
      <c r="AP61" s="26"/>
    </row>
    <row r="62" spans="1:42" ht="12.75" customHeight="1" x14ac:dyDescent="0.2">
      <c r="A62" s="5"/>
      <c r="B62" s="5"/>
      <c r="C62" s="5"/>
      <c r="E62" s="5"/>
      <c r="F62" s="5"/>
      <c r="N62" s="5"/>
      <c r="O62" s="5"/>
      <c r="X62" s="4"/>
      <c r="Y62" s="4"/>
      <c r="Z62" s="4"/>
      <c r="AA62" s="4"/>
      <c r="AB62" s="4"/>
      <c r="AC62" s="4"/>
      <c r="AD62" s="4"/>
      <c r="AE62" s="25"/>
      <c r="AF62" s="4"/>
      <c r="AG62" s="4"/>
      <c r="AH62" s="4"/>
      <c r="AI62" s="4"/>
      <c r="AM62" s="26"/>
      <c r="AN62" s="26"/>
      <c r="AO62" s="26"/>
      <c r="AP62" s="26"/>
    </row>
    <row r="63" spans="1:42" ht="12.75" customHeight="1" x14ac:dyDescent="0.2">
      <c r="A63" s="5"/>
      <c r="B63" s="5"/>
      <c r="C63" s="5"/>
      <c r="E63" s="5"/>
      <c r="F63" s="5"/>
      <c r="N63" s="5"/>
      <c r="O63" s="5"/>
      <c r="X63" s="4"/>
      <c r="Y63" s="4"/>
      <c r="Z63" s="4"/>
      <c r="AA63" s="4"/>
      <c r="AB63" s="4"/>
      <c r="AC63" s="4"/>
      <c r="AD63" s="4"/>
      <c r="AE63" s="25"/>
      <c r="AF63" s="4"/>
      <c r="AG63" s="4"/>
      <c r="AH63" s="4"/>
      <c r="AI63" s="4"/>
      <c r="AM63" s="26"/>
      <c r="AN63" s="26"/>
      <c r="AO63" s="26"/>
      <c r="AP63" s="26"/>
    </row>
    <row r="64" spans="1:42" ht="12.75" customHeight="1" x14ac:dyDescent="0.2">
      <c r="A64" s="5"/>
      <c r="B64" s="5"/>
      <c r="C64" s="5"/>
      <c r="E64" s="5"/>
      <c r="F64" s="5"/>
      <c r="N64" s="5"/>
      <c r="O64" s="5"/>
      <c r="X64" s="4"/>
      <c r="Y64" s="4"/>
      <c r="Z64" s="4"/>
      <c r="AA64" s="4"/>
      <c r="AB64" s="4"/>
      <c r="AC64" s="4"/>
      <c r="AD64" s="4"/>
      <c r="AE64" s="25"/>
      <c r="AF64" s="4"/>
      <c r="AG64" s="4"/>
      <c r="AH64" s="4"/>
      <c r="AI64" s="4"/>
      <c r="AM64" s="26"/>
      <c r="AN64" s="26"/>
      <c r="AO64" s="26"/>
      <c r="AP64" s="26"/>
    </row>
    <row r="65" spans="1:42" ht="12.75" customHeight="1" x14ac:dyDescent="0.2">
      <c r="A65" s="5"/>
      <c r="B65" s="5"/>
      <c r="C65" s="5"/>
      <c r="E65" s="5"/>
      <c r="F65" s="5"/>
      <c r="N65" s="5"/>
      <c r="O65" s="5"/>
      <c r="X65" s="4"/>
      <c r="Y65" s="4"/>
      <c r="Z65" s="4"/>
      <c r="AA65" s="4"/>
      <c r="AB65" s="4"/>
      <c r="AC65" s="4"/>
      <c r="AD65" s="4"/>
      <c r="AE65" s="25"/>
      <c r="AF65" s="4"/>
      <c r="AG65" s="4"/>
      <c r="AH65" s="4"/>
      <c r="AI65" s="4"/>
      <c r="AM65" s="26"/>
      <c r="AN65" s="26"/>
      <c r="AO65" s="26"/>
      <c r="AP65" s="26"/>
    </row>
    <row r="66" spans="1:42" ht="12.75" customHeight="1" x14ac:dyDescent="0.2">
      <c r="A66" s="5"/>
      <c r="B66" s="5"/>
      <c r="C66" s="5"/>
      <c r="E66" s="5"/>
      <c r="F66" s="5"/>
      <c r="N66" s="5"/>
      <c r="O66" s="5"/>
      <c r="X66" s="4"/>
      <c r="Y66" s="4"/>
      <c r="Z66" s="4"/>
      <c r="AA66" s="4"/>
      <c r="AB66" s="4"/>
      <c r="AC66" s="4"/>
      <c r="AD66" s="4"/>
      <c r="AE66" s="25"/>
      <c r="AF66" s="4"/>
      <c r="AG66" s="4"/>
      <c r="AH66" s="4"/>
      <c r="AI66" s="4"/>
      <c r="AM66" s="26"/>
      <c r="AN66" s="26"/>
      <c r="AO66" s="26"/>
      <c r="AP66" s="26"/>
    </row>
    <row r="67" spans="1:42" ht="12.75" customHeight="1" x14ac:dyDescent="0.2">
      <c r="A67" s="5"/>
      <c r="B67" s="5"/>
      <c r="C67" s="5"/>
      <c r="E67" s="5"/>
      <c r="F67" s="5"/>
      <c r="N67" s="5"/>
      <c r="O67" s="5"/>
      <c r="X67" s="4"/>
      <c r="Y67" s="4"/>
      <c r="Z67" s="4"/>
      <c r="AA67" s="4"/>
      <c r="AB67" s="4"/>
      <c r="AC67" s="4"/>
      <c r="AD67" s="4"/>
      <c r="AE67" s="25"/>
      <c r="AF67" s="4"/>
      <c r="AG67" s="4"/>
      <c r="AH67" s="4"/>
      <c r="AI67" s="4"/>
      <c r="AM67" s="26"/>
      <c r="AN67" s="26"/>
      <c r="AO67" s="26"/>
      <c r="AP67" s="26"/>
    </row>
    <row r="68" spans="1:42" ht="12.75" customHeight="1" x14ac:dyDescent="0.2">
      <c r="A68" s="5"/>
      <c r="B68" s="5"/>
      <c r="C68" s="5"/>
      <c r="E68" s="5"/>
      <c r="F68" s="5"/>
      <c r="N68" s="5"/>
      <c r="O68" s="5"/>
      <c r="X68" s="4"/>
      <c r="Y68" s="4"/>
      <c r="Z68" s="4"/>
      <c r="AA68" s="4"/>
      <c r="AB68" s="4"/>
      <c r="AC68" s="4"/>
      <c r="AD68" s="4"/>
      <c r="AE68" s="25"/>
      <c r="AF68" s="4"/>
      <c r="AG68" s="4"/>
      <c r="AH68" s="4"/>
      <c r="AI68" s="4"/>
      <c r="AM68" s="26"/>
      <c r="AN68" s="26"/>
      <c r="AO68" s="26"/>
      <c r="AP68" s="26"/>
    </row>
    <row r="69" spans="1:42" ht="12.75" customHeight="1" x14ac:dyDescent="0.2">
      <c r="A69" s="5"/>
      <c r="B69" s="5"/>
      <c r="C69" s="5"/>
      <c r="E69" s="5"/>
      <c r="F69" s="5"/>
      <c r="N69" s="5"/>
      <c r="O69" s="5"/>
      <c r="X69" s="4"/>
      <c r="Y69" s="4"/>
      <c r="Z69" s="4"/>
      <c r="AA69" s="4"/>
      <c r="AB69" s="4"/>
      <c r="AC69" s="4"/>
      <c r="AD69" s="4"/>
      <c r="AE69" s="25"/>
      <c r="AF69" s="4"/>
      <c r="AG69" s="4"/>
      <c r="AH69" s="4"/>
      <c r="AI69" s="4"/>
      <c r="AM69" s="26"/>
      <c r="AN69" s="26"/>
      <c r="AO69" s="26"/>
      <c r="AP69" s="26"/>
    </row>
    <row r="70" spans="1:42" ht="12.75" customHeight="1" x14ac:dyDescent="0.2">
      <c r="A70" s="5"/>
      <c r="B70" s="5"/>
      <c r="C70" s="5"/>
      <c r="E70" s="5"/>
      <c r="F70" s="5"/>
      <c r="N70" s="5"/>
      <c r="O70" s="5"/>
      <c r="X70" s="4"/>
      <c r="Y70" s="4"/>
      <c r="Z70" s="4"/>
      <c r="AA70" s="4"/>
      <c r="AB70" s="4"/>
      <c r="AC70" s="4"/>
      <c r="AD70" s="4"/>
      <c r="AE70" s="25"/>
      <c r="AF70" s="4"/>
      <c r="AG70" s="4"/>
      <c r="AH70" s="4"/>
      <c r="AI70" s="4"/>
      <c r="AM70" s="26"/>
      <c r="AN70" s="26"/>
      <c r="AO70" s="26"/>
      <c r="AP70" s="26"/>
    </row>
    <row r="71" spans="1:42" ht="12.75" customHeight="1" x14ac:dyDescent="0.2">
      <c r="A71" s="5"/>
      <c r="B71" s="5"/>
      <c r="C71" s="5"/>
      <c r="E71" s="5"/>
      <c r="F71" s="5"/>
      <c r="N71" s="5"/>
      <c r="O71" s="5"/>
      <c r="X71" s="4"/>
      <c r="Y71" s="4"/>
      <c r="Z71" s="4"/>
      <c r="AA71" s="4"/>
      <c r="AB71" s="4"/>
      <c r="AC71" s="4"/>
      <c r="AD71" s="4"/>
      <c r="AE71" s="25"/>
      <c r="AF71" s="4"/>
      <c r="AG71" s="4"/>
      <c r="AH71" s="4"/>
      <c r="AI71" s="4"/>
      <c r="AM71" s="26"/>
      <c r="AN71" s="26"/>
      <c r="AO71" s="26"/>
      <c r="AP71" s="26"/>
    </row>
    <row r="72" spans="1:42" ht="12.75" customHeight="1" x14ac:dyDescent="0.2">
      <c r="A72" s="5"/>
      <c r="B72" s="5"/>
      <c r="C72" s="5"/>
      <c r="E72" s="5"/>
      <c r="F72" s="5"/>
      <c r="N72" s="5"/>
      <c r="O72" s="5"/>
      <c r="X72" s="4"/>
      <c r="Y72" s="4"/>
      <c r="Z72" s="4"/>
      <c r="AA72" s="4"/>
      <c r="AB72" s="4"/>
      <c r="AC72" s="4"/>
      <c r="AD72" s="4"/>
      <c r="AE72" s="25"/>
      <c r="AF72" s="4"/>
      <c r="AG72" s="4"/>
      <c r="AH72" s="4"/>
      <c r="AI72" s="4"/>
      <c r="AM72" s="26"/>
      <c r="AN72" s="26"/>
      <c r="AO72" s="26"/>
      <c r="AP72" s="26"/>
    </row>
    <row r="73" spans="1:42" ht="12.75" customHeight="1" x14ac:dyDescent="0.2">
      <c r="A73" s="5"/>
      <c r="B73" s="5"/>
      <c r="C73" s="5"/>
      <c r="E73" s="5"/>
      <c r="F73" s="5"/>
      <c r="N73" s="5"/>
      <c r="O73" s="5"/>
      <c r="X73" s="4"/>
      <c r="Y73" s="4"/>
      <c r="Z73" s="4"/>
      <c r="AA73" s="4"/>
      <c r="AB73" s="4"/>
      <c r="AC73" s="4"/>
      <c r="AD73" s="4"/>
      <c r="AE73" s="25"/>
      <c r="AF73" s="4"/>
      <c r="AG73" s="4"/>
      <c r="AH73" s="4"/>
      <c r="AI73" s="4"/>
      <c r="AM73" s="26"/>
      <c r="AN73" s="26"/>
      <c r="AO73" s="26"/>
      <c r="AP73" s="26"/>
    </row>
    <row r="74" spans="1:42" ht="12.75" customHeight="1" x14ac:dyDescent="0.2">
      <c r="A74" s="5"/>
      <c r="B74" s="5"/>
      <c r="C74" s="5"/>
      <c r="E74" s="5"/>
      <c r="F74" s="5"/>
      <c r="N74" s="5"/>
      <c r="O74" s="5"/>
      <c r="X74" s="4"/>
      <c r="Y74" s="4"/>
      <c r="Z74" s="4"/>
      <c r="AA74" s="4"/>
      <c r="AB74" s="4"/>
      <c r="AC74" s="4"/>
      <c r="AD74" s="4"/>
      <c r="AE74" s="25"/>
      <c r="AF74" s="4"/>
      <c r="AG74" s="4"/>
      <c r="AH74" s="4"/>
      <c r="AI74" s="4"/>
      <c r="AM74" s="26"/>
      <c r="AN74" s="26"/>
      <c r="AO74" s="26"/>
      <c r="AP74" s="26"/>
    </row>
    <row r="75" spans="1:42" ht="12.75" customHeight="1" x14ac:dyDescent="0.2">
      <c r="A75" s="5"/>
      <c r="B75" s="5"/>
      <c r="C75" s="5"/>
      <c r="E75" s="5"/>
      <c r="F75" s="5"/>
      <c r="N75" s="5"/>
      <c r="O75" s="5"/>
      <c r="X75" s="4"/>
      <c r="Y75" s="4"/>
      <c r="Z75" s="4"/>
      <c r="AA75" s="4"/>
      <c r="AB75" s="4"/>
      <c r="AC75" s="4"/>
      <c r="AD75" s="4"/>
      <c r="AE75" s="25"/>
      <c r="AF75" s="4"/>
      <c r="AG75" s="4"/>
      <c r="AH75" s="4"/>
      <c r="AI75" s="4"/>
      <c r="AM75" s="26"/>
      <c r="AN75" s="26"/>
      <c r="AO75" s="26"/>
      <c r="AP75" s="26"/>
    </row>
    <row r="76" spans="1:42" ht="12.75" customHeight="1" x14ac:dyDescent="0.2">
      <c r="A76" s="5"/>
      <c r="B76" s="5"/>
      <c r="C76" s="5"/>
      <c r="E76" s="5"/>
      <c r="F76" s="5"/>
      <c r="N76" s="5"/>
      <c r="O76" s="5"/>
      <c r="X76" s="4"/>
      <c r="Y76" s="4"/>
      <c r="Z76" s="4"/>
      <c r="AA76" s="4"/>
      <c r="AB76" s="4"/>
      <c r="AC76" s="4"/>
      <c r="AD76" s="4"/>
      <c r="AE76" s="25"/>
      <c r="AF76" s="4"/>
      <c r="AG76" s="4"/>
      <c r="AH76" s="4"/>
      <c r="AI76" s="4"/>
      <c r="AM76" s="26"/>
      <c r="AN76" s="26"/>
      <c r="AO76" s="26"/>
      <c r="AP76" s="26"/>
    </row>
    <row r="77" spans="1:42" ht="12.75" customHeight="1" x14ac:dyDescent="0.2">
      <c r="A77" s="5"/>
      <c r="B77" s="5"/>
      <c r="C77" s="5"/>
      <c r="E77" s="5"/>
      <c r="F77" s="5"/>
      <c r="N77" s="5"/>
      <c r="O77" s="5"/>
      <c r="X77" s="4"/>
      <c r="Y77" s="4"/>
      <c r="Z77" s="4"/>
      <c r="AA77" s="4"/>
      <c r="AB77" s="4"/>
      <c r="AC77" s="4"/>
      <c r="AD77" s="4"/>
      <c r="AE77" s="25"/>
      <c r="AF77" s="4"/>
      <c r="AG77" s="4"/>
      <c r="AH77" s="4"/>
      <c r="AI77" s="4"/>
      <c r="AM77" s="26"/>
      <c r="AN77" s="26"/>
      <c r="AO77" s="26"/>
      <c r="AP77" s="26"/>
    </row>
    <row r="78" spans="1:42" ht="12.75" customHeight="1" x14ac:dyDescent="0.2">
      <c r="A78" s="5"/>
      <c r="B78" s="5"/>
      <c r="C78" s="5"/>
      <c r="E78" s="5"/>
      <c r="F78" s="5"/>
      <c r="N78" s="5"/>
      <c r="O78" s="5"/>
      <c r="X78" s="4"/>
      <c r="Y78" s="4"/>
      <c r="Z78" s="4"/>
      <c r="AA78" s="4"/>
      <c r="AB78" s="4"/>
      <c r="AC78" s="4"/>
      <c r="AD78" s="4"/>
      <c r="AE78" s="25"/>
      <c r="AF78" s="4"/>
      <c r="AG78" s="4"/>
      <c r="AH78" s="4"/>
      <c r="AI78" s="4"/>
      <c r="AM78" s="26"/>
      <c r="AN78" s="26"/>
      <c r="AO78" s="26"/>
      <c r="AP78" s="26"/>
    </row>
    <row r="79" spans="1:42" ht="12.75" customHeight="1" x14ac:dyDescent="0.2">
      <c r="A79" s="5"/>
      <c r="B79" s="5"/>
      <c r="C79" s="5"/>
      <c r="E79" s="5"/>
      <c r="F79" s="5"/>
      <c r="N79" s="5"/>
      <c r="O79" s="5"/>
      <c r="X79" s="4"/>
      <c r="Y79" s="4"/>
      <c r="Z79" s="4"/>
      <c r="AA79" s="4"/>
      <c r="AB79" s="4"/>
      <c r="AC79" s="4"/>
      <c r="AD79" s="4"/>
      <c r="AE79" s="25"/>
      <c r="AF79" s="4"/>
      <c r="AG79" s="4"/>
      <c r="AH79" s="4"/>
      <c r="AI79" s="4"/>
      <c r="AM79" s="26"/>
      <c r="AN79" s="26"/>
      <c r="AO79" s="26"/>
      <c r="AP79" s="26"/>
    </row>
    <row r="80" spans="1:42" ht="12.75" customHeight="1" x14ac:dyDescent="0.2">
      <c r="A80" s="5"/>
      <c r="B80" s="5"/>
      <c r="C80" s="5"/>
      <c r="E80" s="5"/>
      <c r="F80" s="5"/>
      <c r="N80" s="5"/>
      <c r="O80" s="5"/>
      <c r="X80" s="4"/>
      <c r="Y80" s="4"/>
      <c r="Z80" s="4"/>
      <c r="AA80" s="4"/>
      <c r="AB80" s="4"/>
      <c r="AC80" s="4"/>
      <c r="AD80" s="4"/>
      <c r="AE80" s="25"/>
      <c r="AF80" s="4"/>
      <c r="AG80" s="4"/>
      <c r="AH80" s="4"/>
      <c r="AI80" s="4"/>
      <c r="AM80" s="26"/>
      <c r="AN80" s="26"/>
      <c r="AO80" s="26"/>
      <c r="AP80" s="26"/>
    </row>
    <row r="81" spans="1:42" ht="12.75" customHeight="1" x14ac:dyDescent="0.2">
      <c r="A81" s="5"/>
      <c r="B81" s="5"/>
      <c r="C81" s="5"/>
      <c r="E81" s="5"/>
      <c r="F81" s="5"/>
      <c r="N81" s="5"/>
      <c r="O81" s="5"/>
      <c r="X81" s="4"/>
      <c r="Y81" s="4"/>
      <c r="Z81" s="4"/>
      <c r="AA81" s="4"/>
      <c r="AB81" s="4"/>
      <c r="AC81" s="4"/>
      <c r="AD81" s="4"/>
      <c r="AE81" s="25"/>
      <c r="AF81" s="4"/>
      <c r="AG81" s="4"/>
      <c r="AH81" s="4"/>
      <c r="AI81" s="4"/>
      <c r="AM81" s="26"/>
      <c r="AN81" s="26"/>
      <c r="AO81" s="26"/>
      <c r="AP81" s="26"/>
    </row>
    <row r="82" spans="1:42" ht="12.75" customHeight="1" x14ac:dyDescent="0.2">
      <c r="A82" s="5"/>
      <c r="B82" s="5"/>
      <c r="C82" s="5"/>
      <c r="E82" s="5"/>
      <c r="F82" s="5"/>
      <c r="N82" s="5"/>
      <c r="O82" s="5"/>
      <c r="X82" s="4"/>
      <c r="Y82" s="4"/>
      <c r="Z82" s="4"/>
      <c r="AA82" s="4"/>
      <c r="AB82" s="4"/>
      <c r="AC82" s="4"/>
      <c r="AD82" s="4"/>
      <c r="AE82" s="25"/>
      <c r="AF82" s="4"/>
      <c r="AG82" s="4"/>
      <c r="AH82" s="4"/>
      <c r="AI82" s="4"/>
      <c r="AM82" s="26"/>
      <c r="AN82" s="26"/>
      <c r="AO82" s="26"/>
      <c r="AP82" s="26"/>
    </row>
    <row r="83" spans="1:42" ht="12.75" customHeight="1" x14ac:dyDescent="0.2">
      <c r="A83" s="5"/>
      <c r="B83" s="5"/>
      <c r="C83" s="5"/>
      <c r="E83" s="5"/>
      <c r="F83" s="5"/>
      <c r="N83" s="5"/>
      <c r="O83" s="5"/>
      <c r="X83" s="4"/>
      <c r="Y83" s="4"/>
      <c r="Z83" s="4"/>
      <c r="AA83" s="4"/>
      <c r="AB83" s="4"/>
      <c r="AC83" s="4"/>
      <c r="AD83" s="4"/>
      <c r="AE83" s="25"/>
      <c r="AF83" s="4"/>
      <c r="AG83" s="4"/>
      <c r="AH83" s="4"/>
      <c r="AI83" s="4"/>
      <c r="AM83" s="26"/>
      <c r="AN83" s="26"/>
      <c r="AO83" s="26"/>
      <c r="AP83" s="26"/>
    </row>
    <row r="84" spans="1:42" ht="12.75" customHeight="1" x14ac:dyDescent="0.2">
      <c r="A84" s="5"/>
      <c r="B84" s="5"/>
      <c r="C84" s="5"/>
      <c r="E84" s="5"/>
      <c r="F84" s="5"/>
      <c r="N84" s="5"/>
      <c r="O84" s="5"/>
      <c r="X84" s="4"/>
      <c r="Y84" s="4"/>
      <c r="Z84" s="4"/>
      <c r="AA84" s="4"/>
      <c r="AB84" s="4"/>
      <c r="AC84" s="4"/>
      <c r="AD84" s="4"/>
      <c r="AE84" s="25"/>
      <c r="AF84" s="4"/>
      <c r="AG84" s="4"/>
      <c r="AH84" s="4"/>
      <c r="AI84" s="4"/>
      <c r="AM84" s="26"/>
      <c r="AN84" s="26"/>
      <c r="AO84" s="26"/>
      <c r="AP84" s="26"/>
    </row>
    <row r="85" spans="1:42" ht="12.75" customHeight="1" x14ac:dyDescent="0.2">
      <c r="A85" s="5"/>
      <c r="B85" s="5"/>
      <c r="C85" s="5"/>
      <c r="E85" s="5"/>
      <c r="F85" s="5"/>
      <c r="N85" s="5"/>
      <c r="O85" s="5"/>
      <c r="X85" s="4"/>
      <c r="Y85" s="4"/>
      <c r="Z85" s="4"/>
      <c r="AA85" s="4"/>
      <c r="AB85" s="4"/>
      <c r="AC85" s="4"/>
      <c r="AD85" s="4"/>
      <c r="AE85" s="25"/>
      <c r="AF85" s="4"/>
      <c r="AG85" s="4"/>
      <c r="AH85" s="4"/>
      <c r="AI85" s="4"/>
      <c r="AM85" s="26"/>
      <c r="AN85" s="26"/>
      <c r="AO85" s="26"/>
      <c r="AP85" s="26"/>
    </row>
    <row r="86" spans="1:42" ht="12.75" customHeight="1" x14ac:dyDescent="0.2">
      <c r="A86" s="5"/>
      <c r="B86" s="5"/>
      <c r="C86" s="5"/>
      <c r="E86" s="5"/>
      <c r="F86" s="5"/>
      <c r="N86" s="5"/>
      <c r="O86" s="5"/>
      <c r="X86" s="4"/>
      <c r="Y86" s="4"/>
      <c r="Z86" s="4"/>
      <c r="AA86" s="4"/>
      <c r="AB86" s="4"/>
      <c r="AC86" s="4"/>
      <c r="AD86" s="4"/>
      <c r="AE86" s="25"/>
      <c r="AF86" s="4"/>
      <c r="AG86" s="4"/>
      <c r="AH86" s="4"/>
      <c r="AI86" s="4"/>
      <c r="AM86" s="26"/>
      <c r="AN86" s="26"/>
      <c r="AO86" s="26"/>
      <c r="AP86" s="26"/>
    </row>
    <row r="87" spans="1:42" ht="12.75" customHeight="1" x14ac:dyDescent="0.2">
      <c r="A87" s="5"/>
      <c r="B87" s="5"/>
      <c r="C87" s="5"/>
      <c r="E87" s="5"/>
      <c r="F87" s="5"/>
      <c r="N87" s="5"/>
      <c r="O87" s="5"/>
      <c r="X87" s="4"/>
      <c r="Y87" s="4"/>
      <c r="Z87" s="4"/>
      <c r="AA87" s="4"/>
      <c r="AB87" s="4"/>
      <c r="AC87" s="4"/>
      <c r="AD87" s="4"/>
      <c r="AE87" s="25"/>
      <c r="AF87" s="4"/>
      <c r="AG87" s="4"/>
      <c r="AH87" s="4"/>
      <c r="AI87" s="4"/>
      <c r="AM87" s="26"/>
      <c r="AN87" s="26"/>
      <c r="AO87" s="26"/>
      <c r="AP87" s="26"/>
    </row>
    <row r="88" spans="1:42" ht="12.75" customHeight="1" x14ac:dyDescent="0.2">
      <c r="A88" s="5"/>
      <c r="B88" s="5"/>
      <c r="C88" s="5"/>
      <c r="E88" s="5"/>
      <c r="F88" s="5"/>
      <c r="N88" s="5"/>
      <c r="O88" s="5"/>
      <c r="X88" s="4"/>
      <c r="Y88" s="4"/>
      <c r="Z88" s="4"/>
      <c r="AA88" s="4"/>
      <c r="AB88" s="4"/>
      <c r="AC88" s="4"/>
      <c r="AD88" s="4"/>
      <c r="AE88" s="25"/>
      <c r="AF88" s="4"/>
      <c r="AG88" s="4"/>
      <c r="AH88" s="4"/>
      <c r="AI88" s="4"/>
      <c r="AM88" s="26"/>
      <c r="AN88" s="26"/>
      <c r="AO88" s="26"/>
      <c r="AP88" s="26"/>
    </row>
    <row r="89" spans="1:42" ht="12.75" customHeight="1" x14ac:dyDescent="0.2">
      <c r="A89" s="5"/>
      <c r="B89" s="5"/>
      <c r="C89" s="5"/>
      <c r="E89" s="5"/>
      <c r="F89" s="5"/>
      <c r="N89" s="5"/>
      <c r="O89" s="5"/>
      <c r="X89" s="4"/>
      <c r="Y89" s="4"/>
      <c r="Z89" s="4"/>
      <c r="AA89" s="4"/>
      <c r="AB89" s="4"/>
      <c r="AC89" s="4"/>
      <c r="AD89" s="4"/>
      <c r="AE89" s="25"/>
      <c r="AF89" s="4"/>
      <c r="AG89" s="4"/>
      <c r="AH89" s="4"/>
      <c r="AI89" s="4"/>
      <c r="AM89" s="26"/>
      <c r="AN89" s="26"/>
      <c r="AO89" s="26"/>
      <c r="AP89" s="26"/>
    </row>
    <row r="90" spans="1:42" ht="12.75" customHeight="1" x14ac:dyDescent="0.2">
      <c r="A90" s="5"/>
      <c r="B90" s="5"/>
      <c r="C90" s="5"/>
      <c r="E90" s="5"/>
      <c r="F90" s="5"/>
      <c r="N90" s="5"/>
      <c r="O90" s="5"/>
      <c r="X90" s="4"/>
      <c r="Y90" s="4"/>
      <c r="Z90" s="4"/>
      <c r="AA90" s="4"/>
      <c r="AB90" s="4"/>
      <c r="AC90" s="4"/>
      <c r="AD90" s="4"/>
      <c r="AE90" s="25"/>
      <c r="AF90" s="4"/>
      <c r="AG90" s="4"/>
      <c r="AH90" s="4"/>
      <c r="AI90" s="4"/>
      <c r="AM90" s="26"/>
      <c r="AN90" s="26"/>
      <c r="AO90" s="26"/>
      <c r="AP90" s="26"/>
    </row>
    <row r="91" spans="1:42" ht="12.75" customHeight="1" x14ac:dyDescent="0.2">
      <c r="A91" s="5"/>
      <c r="B91" s="5"/>
      <c r="C91" s="5"/>
      <c r="E91" s="5"/>
      <c r="F91" s="5"/>
      <c r="N91" s="5"/>
      <c r="O91" s="5"/>
      <c r="X91" s="4"/>
      <c r="Y91" s="4"/>
      <c r="Z91" s="4"/>
      <c r="AA91" s="4"/>
      <c r="AB91" s="4"/>
      <c r="AC91" s="4"/>
      <c r="AD91" s="4"/>
      <c r="AE91" s="25"/>
      <c r="AF91" s="4"/>
      <c r="AG91" s="4"/>
      <c r="AH91" s="4"/>
      <c r="AI91" s="4"/>
      <c r="AM91" s="26"/>
      <c r="AN91" s="26"/>
      <c r="AO91" s="26"/>
      <c r="AP91" s="26"/>
    </row>
    <row r="92" spans="1:42" ht="12.75" customHeight="1" x14ac:dyDescent="0.2">
      <c r="A92" s="5"/>
      <c r="B92" s="5"/>
      <c r="C92" s="5"/>
      <c r="E92" s="5"/>
      <c r="F92" s="5"/>
      <c r="N92" s="5"/>
      <c r="O92" s="5"/>
      <c r="X92" s="4"/>
      <c r="Y92" s="4"/>
      <c r="Z92" s="4"/>
      <c r="AA92" s="4"/>
      <c r="AB92" s="4"/>
      <c r="AC92" s="4"/>
      <c r="AD92" s="4"/>
      <c r="AE92" s="25"/>
      <c r="AF92" s="4"/>
      <c r="AG92" s="4"/>
      <c r="AH92" s="4"/>
      <c r="AI92" s="4"/>
      <c r="AM92" s="26"/>
      <c r="AN92" s="26"/>
      <c r="AO92" s="26"/>
      <c r="AP92" s="26"/>
    </row>
    <row r="93" spans="1:42" ht="12.75" customHeight="1" x14ac:dyDescent="0.2">
      <c r="A93" s="5"/>
      <c r="B93" s="5"/>
      <c r="C93" s="5"/>
      <c r="E93" s="5"/>
      <c r="F93" s="5"/>
      <c r="N93" s="5"/>
      <c r="O93" s="5"/>
      <c r="X93" s="4"/>
      <c r="Y93" s="4"/>
      <c r="Z93" s="4"/>
      <c r="AA93" s="4"/>
      <c r="AB93" s="4"/>
      <c r="AC93" s="4"/>
      <c r="AD93" s="4"/>
      <c r="AE93" s="25"/>
      <c r="AF93" s="4"/>
      <c r="AG93" s="4"/>
      <c r="AH93" s="4"/>
      <c r="AI93" s="4"/>
      <c r="AM93" s="26"/>
      <c r="AN93" s="26"/>
      <c r="AO93" s="26"/>
      <c r="AP93" s="26"/>
    </row>
    <row r="94" spans="1:42" ht="12.75" customHeight="1" x14ac:dyDescent="0.2">
      <c r="A94" s="5"/>
      <c r="B94" s="5"/>
      <c r="C94" s="5"/>
      <c r="E94" s="5"/>
      <c r="F94" s="5"/>
      <c r="N94" s="5"/>
      <c r="O94" s="5"/>
      <c r="X94" s="4"/>
      <c r="Y94" s="4"/>
      <c r="Z94" s="4"/>
      <c r="AA94" s="4"/>
      <c r="AB94" s="4"/>
      <c r="AC94" s="4"/>
      <c r="AD94" s="4"/>
      <c r="AE94" s="25"/>
      <c r="AF94" s="4"/>
      <c r="AG94" s="4"/>
      <c r="AH94" s="4"/>
      <c r="AI94" s="4"/>
      <c r="AM94" s="26"/>
      <c r="AN94" s="26"/>
      <c r="AO94" s="26"/>
      <c r="AP94" s="26"/>
    </row>
    <row r="95" spans="1:42" ht="12.75" customHeight="1" x14ac:dyDescent="0.2">
      <c r="A95" s="5"/>
      <c r="B95" s="5"/>
      <c r="C95" s="5"/>
      <c r="E95" s="5"/>
      <c r="F95" s="5"/>
      <c r="N95" s="5"/>
      <c r="O95" s="5"/>
      <c r="X95" s="4"/>
      <c r="Y95" s="4"/>
      <c r="Z95" s="4"/>
      <c r="AA95" s="4"/>
      <c r="AB95" s="4"/>
      <c r="AC95" s="4"/>
      <c r="AD95" s="4"/>
      <c r="AE95" s="25"/>
      <c r="AF95" s="4"/>
      <c r="AG95" s="4"/>
      <c r="AH95" s="4"/>
      <c r="AI95" s="4"/>
      <c r="AM95" s="26"/>
      <c r="AN95" s="26"/>
      <c r="AO95" s="26"/>
      <c r="AP95" s="26"/>
    </row>
    <row r="96" spans="1:42" ht="12.75" customHeight="1" x14ac:dyDescent="0.2">
      <c r="A96" s="5"/>
      <c r="B96" s="5"/>
      <c r="C96" s="5"/>
      <c r="E96" s="5"/>
      <c r="F96" s="5"/>
      <c r="N96" s="5"/>
      <c r="O96" s="5"/>
      <c r="X96" s="4"/>
      <c r="Y96" s="4"/>
      <c r="Z96" s="4"/>
      <c r="AA96" s="4"/>
      <c r="AB96" s="4"/>
      <c r="AC96" s="4"/>
      <c r="AD96" s="4"/>
      <c r="AE96" s="25"/>
      <c r="AF96" s="4"/>
      <c r="AG96" s="4"/>
      <c r="AH96" s="4"/>
      <c r="AI96" s="4"/>
      <c r="AM96" s="26"/>
      <c r="AN96" s="26"/>
      <c r="AO96" s="26"/>
      <c r="AP96" s="26"/>
    </row>
    <row r="97" spans="1:42" ht="12.75" customHeight="1" x14ac:dyDescent="0.2">
      <c r="A97" s="5"/>
      <c r="B97" s="5"/>
      <c r="C97" s="5"/>
      <c r="E97" s="5"/>
      <c r="F97" s="5"/>
      <c r="N97" s="5"/>
      <c r="O97" s="5"/>
      <c r="X97" s="4"/>
      <c r="Y97" s="4"/>
      <c r="Z97" s="4"/>
      <c r="AA97" s="4"/>
      <c r="AB97" s="4"/>
      <c r="AC97" s="4"/>
      <c r="AD97" s="4"/>
      <c r="AE97" s="25"/>
      <c r="AF97" s="4"/>
      <c r="AG97" s="4"/>
      <c r="AH97" s="4"/>
      <c r="AI97" s="4"/>
      <c r="AM97" s="26"/>
      <c r="AN97" s="26"/>
      <c r="AO97" s="26"/>
      <c r="AP97" s="26"/>
    </row>
    <row r="98" spans="1:42" ht="12.75" customHeight="1" x14ac:dyDescent="0.2">
      <c r="A98" s="5"/>
      <c r="B98" s="5"/>
      <c r="C98" s="5"/>
      <c r="E98" s="5"/>
      <c r="F98" s="5"/>
      <c r="N98" s="5"/>
      <c r="O98" s="5"/>
      <c r="X98" s="4"/>
      <c r="Y98" s="4"/>
      <c r="Z98" s="4"/>
      <c r="AA98" s="4"/>
      <c r="AB98" s="4"/>
      <c r="AC98" s="4"/>
      <c r="AD98" s="4"/>
      <c r="AE98" s="25"/>
      <c r="AF98" s="4"/>
      <c r="AG98" s="4"/>
      <c r="AH98" s="4"/>
      <c r="AI98" s="4"/>
      <c r="AM98" s="26"/>
      <c r="AN98" s="26"/>
      <c r="AO98" s="26"/>
      <c r="AP98" s="26"/>
    </row>
    <row r="99" spans="1:42" ht="12.75" customHeight="1" x14ac:dyDescent="0.2">
      <c r="A99" s="5"/>
      <c r="B99" s="5"/>
      <c r="C99" s="5"/>
      <c r="E99" s="5"/>
      <c r="F99" s="5"/>
      <c r="N99" s="5"/>
      <c r="O99" s="5"/>
      <c r="X99" s="4"/>
      <c r="Y99" s="4"/>
      <c r="Z99" s="4"/>
      <c r="AA99" s="4"/>
      <c r="AB99" s="4"/>
      <c r="AC99" s="4"/>
      <c r="AD99" s="4"/>
      <c r="AE99" s="25"/>
      <c r="AF99" s="4"/>
      <c r="AG99" s="4"/>
      <c r="AH99" s="4"/>
      <c r="AI99" s="4"/>
      <c r="AM99" s="26"/>
      <c r="AN99" s="26"/>
      <c r="AO99" s="26"/>
      <c r="AP99" s="26"/>
    </row>
    <row r="100" spans="1:42" ht="12.75" customHeight="1" x14ac:dyDescent="0.2">
      <c r="A100" s="5"/>
      <c r="B100" s="5"/>
      <c r="C100" s="5"/>
      <c r="E100" s="5"/>
      <c r="F100" s="5"/>
      <c r="N100" s="5"/>
      <c r="O100" s="5"/>
      <c r="X100" s="4"/>
      <c r="Y100" s="4"/>
      <c r="Z100" s="4"/>
      <c r="AA100" s="4"/>
      <c r="AB100" s="4"/>
      <c r="AC100" s="4"/>
      <c r="AD100" s="4"/>
      <c r="AE100" s="25"/>
      <c r="AF100" s="4"/>
      <c r="AG100" s="4"/>
      <c r="AH100" s="4"/>
      <c r="AI100" s="4"/>
      <c r="AM100" s="26"/>
      <c r="AN100" s="26"/>
      <c r="AO100" s="26"/>
      <c r="AP100" s="26"/>
    </row>
    <row r="101" spans="1:42" ht="12.75" customHeight="1" x14ac:dyDescent="0.2">
      <c r="A101" s="5"/>
      <c r="B101" s="5"/>
      <c r="C101" s="5"/>
      <c r="E101" s="5"/>
      <c r="F101" s="5"/>
      <c r="N101" s="5"/>
      <c r="O101" s="5"/>
      <c r="X101" s="4"/>
      <c r="Y101" s="4"/>
      <c r="Z101" s="4"/>
      <c r="AA101" s="4"/>
      <c r="AB101" s="4"/>
      <c r="AC101" s="4"/>
      <c r="AD101" s="4"/>
      <c r="AE101" s="25"/>
      <c r="AF101" s="4"/>
      <c r="AG101" s="4"/>
      <c r="AH101" s="4"/>
      <c r="AI101" s="4"/>
      <c r="AM101" s="26"/>
      <c r="AN101" s="26"/>
      <c r="AO101" s="26"/>
      <c r="AP101" s="26"/>
    </row>
    <row r="102" spans="1:42" ht="12.75" customHeight="1" x14ac:dyDescent="0.2">
      <c r="A102" s="5"/>
      <c r="B102" s="5"/>
      <c r="C102" s="5"/>
      <c r="E102" s="5"/>
      <c r="F102" s="5"/>
      <c r="N102" s="5"/>
      <c r="O102" s="5"/>
      <c r="X102" s="4"/>
      <c r="Y102" s="4"/>
      <c r="Z102" s="4"/>
      <c r="AA102" s="4"/>
      <c r="AB102" s="4"/>
      <c r="AC102" s="4"/>
      <c r="AD102" s="4"/>
      <c r="AE102" s="25"/>
      <c r="AF102" s="4"/>
      <c r="AG102" s="4"/>
      <c r="AH102" s="4"/>
      <c r="AI102" s="4"/>
      <c r="AM102" s="26"/>
      <c r="AN102" s="26"/>
      <c r="AO102" s="26"/>
      <c r="AP102" s="26"/>
    </row>
    <row r="103" spans="1:42" ht="12.75" customHeight="1" x14ac:dyDescent="0.2">
      <c r="A103" s="5"/>
      <c r="B103" s="5"/>
      <c r="C103" s="5"/>
      <c r="E103" s="5"/>
      <c r="F103" s="5"/>
      <c r="N103" s="5"/>
      <c r="O103" s="5"/>
      <c r="X103" s="4"/>
      <c r="Y103" s="4"/>
      <c r="Z103" s="4"/>
      <c r="AA103" s="4"/>
      <c r="AB103" s="4"/>
      <c r="AC103" s="4"/>
      <c r="AD103" s="4"/>
      <c r="AE103" s="25"/>
      <c r="AF103" s="4"/>
      <c r="AG103" s="4"/>
      <c r="AH103" s="4"/>
      <c r="AI103" s="4"/>
      <c r="AM103" s="26"/>
      <c r="AN103" s="26"/>
      <c r="AO103" s="26"/>
      <c r="AP103" s="26"/>
    </row>
    <row r="104" spans="1:42" ht="12.75" customHeight="1" x14ac:dyDescent="0.2">
      <c r="A104" s="5"/>
      <c r="B104" s="5"/>
      <c r="C104" s="5"/>
      <c r="E104" s="5"/>
      <c r="F104" s="5"/>
      <c r="N104" s="5"/>
      <c r="O104" s="5"/>
      <c r="X104" s="4"/>
      <c r="Y104" s="4"/>
      <c r="Z104" s="4"/>
      <c r="AA104" s="4"/>
      <c r="AB104" s="4"/>
      <c r="AC104" s="4"/>
      <c r="AD104" s="4"/>
      <c r="AE104" s="25"/>
      <c r="AF104" s="4"/>
      <c r="AG104" s="4"/>
      <c r="AH104" s="4"/>
      <c r="AI104" s="4"/>
      <c r="AM104" s="26"/>
      <c r="AN104" s="26"/>
      <c r="AO104" s="26"/>
      <c r="AP104" s="26"/>
    </row>
    <row r="105" spans="1:42" ht="12.75" customHeight="1" x14ac:dyDescent="0.2">
      <c r="A105" s="5"/>
      <c r="B105" s="5"/>
      <c r="C105" s="5"/>
      <c r="E105" s="5"/>
      <c r="F105" s="5"/>
      <c r="N105" s="5"/>
      <c r="O105" s="5"/>
      <c r="X105" s="4"/>
      <c r="Y105" s="4"/>
      <c r="Z105" s="4"/>
      <c r="AA105" s="4"/>
      <c r="AB105" s="4"/>
      <c r="AC105" s="4"/>
      <c r="AD105" s="4"/>
      <c r="AE105" s="25"/>
      <c r="AF105" s="4"/>
      <c r="AG105" s="4"/>
      <c r="AH105" s="4"/>
      <c r="AI105" s="4"/>
      <c r="AM105" s="26"/>
      <c r="AN105" s="26"/>
      <c r="AO105" s="26"/>
      <c r="AP105" s="26"/>
    </row>
    <row r="106" spans="1:42" ht="12.75" customHeight="1" x14ac:dyDescent="0.2">
      <c r="A106" s="5"/>
      <c r="B106" s="5"/>
      <c r="C106" s="5"/>
      <c r="E106" s="5"/>
      <c r="F106" s="5"/>
      <c r="N106" s="5"/>
      <c r="O106" s="5"/>
      <c r="X106" s="4"/>
      <c r="Y106" s="4"/>
      <c r="Z106" s="4"/>
      <c r="AA106" s="4"/>
      <c r="AB106" s="4"/>
      <c r="AC106" s="4"/>
      <c r="AD106" s="4"/>
      <c r="AE106" s="25"/>
      <c r="AF106" s="4"/>
      <c r="AG106" s="4"/>
      <c r="AH106" s="4"/>
      <c r="AI106" s="4"/>
      <c r="AM106" s="26"/>
      <c r="AN106" s="26"/>
      <c r="AO106" s="26"/>
      <c r="AP106" s="26"/>
    </row>
    <row r="107" spans="1:42" ht="12.75" customHeight="1" x14ac:dyDescent="0.2">
      <c r="A107" s="5"/>
      <c r="B107" s="5"/>
      <c r="C107" s="5"/>
      <c r="E107" s="5"/>
      <c r="F107" s="5"/>
      <c r="N107" s="5"/>
      <c r="O107" s="5"/>
      <c r="X107" s="4"/>
      <c r="Y107" s="4"/>
      <c r="Z107" s="4"/>
      <c r="AA107" s="4"/>
      <c r="AB107" s="4"/>
      <c r="AC107" s="4"/>
      <c r="AD107" s="4"/>
      <c r="AE107" s="25"/>
      <c r="AF107" s="4"/>
      <c r="AG107" s="4"/>
      <c r="AH107" s="4"/>
      <c r="AI107" s="4"/>
      <c r="AM107" s="26"/>
      <c r="AN107" s="26"/>
      <c r="AO107" s="26"/>
      <c r="AP107" s="26"/>
    </row>
    <row r="108" spans="1:42" ht="12.75" customHeight="1" x14ac:dyDescent="0.2">
      <c r="A108" s="5"/>
      <c r="B108" s="5"/>
      <c r="C108" s="5"/>
      <c r="E108" s="5"/>
      <c r="F108" s="5"/>
      <c r="N108" s="5"/>
      <c r="O108" s="5"/>
      <c r="X108" s="4"/>
      <c r="Y108" s="4"/>
      <c r="Z108" s="4"/>
      <c r="AA108" s="4"/>
      <c r="AB108" s="4"/>
      <c r="AC108" s="4"/>
      <c r="AD108" s="4"/>
      <c r="AE108" s="25"/>
      <c r="AF108" s="4"/>
      <c r="AG108" s="4"/>
      <c r="AH108" s="4"/>
      <c r="AI108" s="4"/>
      <c r="AM108" s="26"/>
      <c r="AN108" s="26"/>
      <c r="AO108" s="26"/>
      <c r="AP108" s="26"/>
    </row>
    <row r="109" spans="1:42" ht="12.75" customHeight="1" x14ac:dyDescent="0.2">
      <c r="A109" s="5"/>
      <c r="B109" s="5"/>
      <c r="C109" s="5"/>
      <c r="E109" s="5"/>
      <c r="F109" s="5"/>
      <c r="N109" s="5"/>
      <c r="O109" s="5"/>
      <c r="X109" s="4"/>
      <c r="Y109" s="4"/>
      <c r="Z109" s="4"/>
      <c r="AA109" s="4"/>
      <c r="AB109" s="4"/>
      <c r="AC109" s="4"/>
      <c r="AD109" s="4"/>
      <c r="AE109" s="25"/>
      <c r="AF109" s="4"/>
      <c r="AG109" s="4"/>
      <c r="AH109" s="4"/>
      <c r="AI109" s="4"/>
      <c r="AM109" s="26"/>
      <c r="AN109" s="26"/>
      <c r="AO109" s="26"/>
      <c r="AP109" s="26"/>
    </row>
    <row r="110" spans="1:42" ht="12.75" customHeight="1" x14ac:dyDescent="0.2">
      <c r="A110" s="5"/>
      <c r="B110" s="5"/>
      <c r="C110" s="5"/>
      <c r="E110" s="5"/>
      <c r="F110" s="5"/>
      <c r="N110" s="5"/>
      <c r="O110" s="5"/>
      <c r="X110" s="4"/>
      <c r="Y110" s="4"/>
      <c r="Z110" s="4"/>
      <c r="AA110" s="4"/>
      <c r="AB110" s="4"/>
      <c r="AC110" s="4"/>
      <c r="AD110" s="4"/>
      <c r="AE110" s="25"/>
      <c r="AF110" s="4"/>
      <c r="AG110" s="4"/>
      <c r="AH110" s="4"/>
      <c r="AI110" s="4"/>
      <c r="AM110" s="26"/>
      <c r="AN110" s="26"/>
      <c r="AO110" s="26"/>
      <c r="AP110" s="26"/>
    </row>
    <row r="111" spans="1:42" ht="12.75" customHeight="1" x14ac:dyDescent="0.2">
      <c r="A111" s="5"/>
      <c r="B111" s="5"/>
      <c r="C111" s="5"/>
      <c r="E111" s="5"/>
      <c r="F111" s="5"/>
      <c r="N111" s="5"/>
      <c r="O111" s="5"/>
      <c r="X111" s="4"/>
      <c r="Y111" s="4"/>
      <c r="Z111" s="4"/>
      <c r="AA111" s="4"/>
      <c r="AB111" s="4"/>
      <c r="AC111" s="4"/>
      <c r="AD111" s="4"/>
      <c r="AE111" s="25"/>
      <c r="AF111" s="4"/>
      <c r="AG111" s="4"/>
      <c r="AH111" s="4"/>
      <c r="AI111" s="4"/>
      <c r="AM111" s="26"/>
      <c r="AN111" s="26"/>
      <c r="AO111" s="26"/>
      <c r="AP111" s="26"/>
    </row>
    <row r="112" spans="1:42" ht="12.75" customHeight="1" x14ac:dyDescent="0.2">
      <c r="A112" s="5"/>
      <c r="B112" s="5"/>
      <c r="C112" s="5"/>
      <c r="E112" s="5"/>
      <c r="F112" s="5"/>
      <c r="N112" s="5"/>
      <c r="O112" s="5"/>
      <c r="X112" s="4"/>
      <c r="Y112" s="4"/>
      <c r="Z112" s="4"/>
      <c r="AA112" s="4"/>
      <c r="AB112" s="4"/>
      <c r="AC112" s="4"/>
      <c r="AD112" s="4"/>
      <c r="AE112" s="25"/>
      <c r="AF112" s="4"/>
      <c r="AG112" s="4"/>
      <c r="AH112" s="4"/>
      <c r="AI112" s="4"/>
      <c r="AM112" s="26"/>
      <c r="AN112" s="26"/>
      <c r="AO112" s="26"/>
      <c r="AP112" s="26"/>
    </row>
    <row r="113" spans="1:42" ht="12.75" customHeight="1" x14ac:dyDescent="0.2">
      <c r="A113" s="5"/>
      <c r="B113" s="5"/>
      <c r="C113" s="5"/>
      <c r="E113" s="5"/>
      <c r="F113" s="5"/>
      <c r="N113" s="5"/>
      <c r="O113" s="5"/>
      <c r="X113" s="4"/>
      <c r="Y113" s="4"/>
      <c r="Z113" s="4"/>
      <c r="AA113" s="4"/>
      <c r="AB113" s="4"/>
      <c r="AC113" s="4"/>
      <c r="AD113" s="4"/>
      <c r="AE113" s="25"/>
      <c r="AF113" s="4"/>
      <c r="AG113" s="4"/>
      <c r="AH113" s="4"/>
      <c r="AI113" s="4"/>
      <c r="AM113" s="26"/>
      <c r="AN113" s="26"/>
      <c r="AO113" s="26"/>
      <c r="AP113" s="26"/>
    </row>
    <row r="114" spans="1:42" ht="12.75" customHeight="1" x14ac:dyDescent="0.2">
      <c r="A114" s="5"/>
      <c r="B114" s="5"/>
      <c r="C114" s="5"/>
      <c r="E114" s="5"/>
      <c r="F114" s="5"/>
      <c r="N114" s="5"/>
      <c r="O114" s="5"/>
      <c r="X114" s="4"/>
      <c r="Y114" s="4"/>
      <c r="Z114" s="4"/>
      <c r="AA114" s="4"/>
      <c r="AB114" s="4"/>
      <c r="AC114" s="4"/>
      <c r="AD114" s="4"/>
      <c r="AE114" s="25"/>
      <c r="AF114" s="4"/>
      <c r="AG114" s="4"/>
      <c r="AH114" s="4"/>
      <c r="AI114" s="4"/>
      <c r="AM114" s="26"/>
      <c r="AN114" s="26"/>
      <c r="AO114" s="26"/>
      <c r="AP114" s="26"/>
    </row>
    <row r="115" spans="1:42" ht="12.75" customHeight="1" x14ac:dyDescent="0.2">
      <c r="A115" s="5"/>
      <c r="B115" s="5"/>
      <c r="C115" s="5"/>
      <c r="E115" s="5"/>
      <c r="F115" s="5"/>
      <c r="N115" s="5"/>
      <c r="O115" s="5"/>
      <c r="X115" s="4"/>
      <c r="Y115" s="4"/>
      <c r="Z115" s="4"/>
      <c r="AA115" s="4"/>
      <c r="AB115" s="4"/>
      <c r="AC115" s="4"/>
      <c r="AD115" s="4"/>
      <c r="AE115" s="25"/>
      <c r="AF115" s="4"/>
      <c r="AG115" s="4"/>
      <c r="AH115" s="4"/>
      <c r="AI115" s="4"/>
      <c r="AM115" s="26"/>
      <c r="AN115" s="26"/>
      <c r="AO115" s="26"/>
      <c r="AP115" s="26"/>
    </row>
    <row r="116" spans="1:42" ht="12.75" customHeight="1" x14ac:dyDescent="0.2">
      <c r="A116" s="5"/>
      <c r="B116" s="5"/>
      <c r="C116" s="5"/>
      <c r="E116" s="5"/>
      <c r="F116" s="5"/>
      <c r="N116" s="5"/>
      <c r="O116" s="5"/>
      <c r="X116" s="4"/>
      <c r="Y116" s="4"/>
      <c r="Z116" s="4"/>
      <c r="AA116" s="4"/>
      <c r="AB116" s="4"/>
      <c r="AC116" s="4"/>
      <c r="AD116" s="4"/>
      <c r="AE116" s="25"/>
      <c r="AF116" s="4"/>
      <c r="AG116" s="4"/>
      <c r="AH116" s="4"/>
      <c r="AI116" s="4"/>
      <c r="AM116" s="26"/>
      <c r="AN116" s="26"/>
      <c r="AO116" s="26"/>
      <c r="AP116" s="26"/>
    </row>
    <row r="117" spans="1:42" ht="12.75" customHeight="1" x14ac:dyDescent="0.2">
      <c r="A117" s="5"/>
      <c r="B117" s="5"/>
      <c r="C117" s="5"/>
      <c r="E117" s="5"/>
      <c r="F117" s="5"/>
      <c r="N117" s="5"/>
      <c r="O117" s="5"/>
      <c r="X117" s="4"/>
      <c r="Y117" s="4"/>
      <c r="Z117" s="4"/>
      <c r="AA117" s="4"/>
      <c r="AB117" s="4"/>
      <c r="AC117" s="4"/>
      <c r="AD117" s="4"/>
      <c r="AE117" s="25"/>
      <c r="AF117" s="4"/>
      <c r="AG117" s="4"/>
      <c r="AH117" s="4"/>
      <c r="AI117" s="4"/>
      <c r="AM117" s="26"/>
      <c r="AN117" s="26"/>
      <c r="AO117" s="26"/>
      <c r="AP117" s="26"/>
    </row>
    <row r="118" spans="1:42" ht="12.75" customHeight="1" x14ac:dyDescent="0.2">
      <c r="A118" s="5"/>
      <c r="B118" s="5"/>
      <c r="C118" s="5"/>
      <c r="E118" s="5"/>
      <c r="F118" s="5"/>
      <c r="N118" s="5"/>
      <c r="O118" s="5"/>
      <c r="X118" s="4"/>
      <c r="Y118" s="4"/>
      <c r="Z118" s="4"/>
      <c r="AA118" s="4"/>
      <c r="AB118" s="4"/>
      <c r="AC118" s="4"/>
      <c r="AD118" s="4"/>
      <c r="AE118" s="25"/>
      <c r="AF118" s="4"/>
      <c r="AG118" s="4"/>
      <c r="AH118" s="4"/>
      <c r="AI118" s="4"/>
      <c r="AM118" s="26"/>
      <c r="AN118" s="26"/>
      <c r="AO118" s="26"/>
      <c r="AP118" s="26"/>
    </row>
    <row r="119" spans="1:42" ht="12.75" customHeight="1" x14ac:dyDescent="0.2">
      <c r="A119" s="5"/>
      <c r="B119" s="5"/>
      <c r="C119" s="5"/>
      <c r="E119" s="5"/>
      <c r="F119" s="5"/>
      <c r="N119" s="5"/>
      <c r="O119" s="5"/>
      <c r="X119" s="4"/>
      <c r="Y119" s="4"/>
      <c r="Z119" s="4"/>
      <c r="AA119" s="4"/>
      <c r="AB119" s="4"/>
      <c r="AC119" s="4"/>
      <c r="AD119" s="4"/>
      <c r="AE119" s="25"/>
      <c r="AF119" s="4"/>
      <c r="AG119" s="4"/>
      <c r="AH119" s="4"/>
      <c r="AI119" s="4"/>
      <c r="AM119" s="26"/>
      <c r="AN119" s="26"/>
      <c r="AO119" s="26"/>
      <c r="AP119" s="26"/>
    </row>
    <row r="120" spans="1:42" ht="12.75" customHeight="1" x14ac:dyDescent="0.2">
      <c r="A120" s="5"/>
      <c r="B120" s="5"/>
      <c r="C120" s="5"/>
      <c r="E120" s="5"/>
      <c r="F120" s="5"/>
      <c r="N120" s="5"/>
      <c r="O120" s="5"/>
      <c r="X120" s="4"/>
      <c r="Y120" s="4"/>
      <c r="Z120" s="4"/>
      <c r="AA120" s="4"/>
      <c r="AB120" s="4"/>
      <c r="AC120" s="4"/>
      <c r="AD120" s="4"/>
      <c r="AE120" s="25"/>
      <c r="AF120" s="4"/>
      <c r="AG120" s="4"/>
      <c r="AH120" s="4"/>
      <c r="AI120" s="4"/>
      <c r="AM120" s="26"/>
      <c r="AN120" s="26"/>
      <c r="AO120" s="26"/>
      <c r="AP120" s="26"/>
    </row>
    <row r="121" spans="1:42" ht="12.75" customHeight="1" x14ac:dyDescent="0.2">
      <c r="A121" s="5"/>
      <c r="B121" s="5"/>
      <c r="C121" s="5"/>
      <c r="E121" s="5"/>
      <c r="F121" s="5"/>
      <c r="N121" s="5"/>
      <c r="O121" s="5"/>
      <c r="X121" s="4"/>
      <c r="Y121" s="4"/>
      <c r="Z121" s="4"/>
      <c r="AA121" s="4"/>
      <c r="AB121" s="4"/>
      <c r="AC121" s="4"/>
      <c r="AD121" s="4"/>
      <c r="AE121" s="25"/>
      <c r="AF121" s="4"/>
      <c r="AG121" s="4"/>
      <c r="AH121" s="4"/>
      <c r="AI121" s="4"/>
      <c r="AM121" s="26"/>
      <c r="AN121" s="26"/>
      <c r="AO121" s="26"/>
      <c r="AP121" s="26"/>
    </row>
    <row r="122" spans="1:42" ht="12.75" customHeight="1" x14ac:dyDescent="0.2">
      <c r="A122" s="5"/>
      <c r="B122" s="5"/>
      <c r="C122" s="5"/>
      <c r="E122" s="5"/>
      <c r="F122" s="5"/>
      <c r="N122" s="5"/>
      <c r="O122" s="5"/>
      <c r="X122" s="4"/>
      <c r="Y122" s="4"/>
      <c r="Z122" s="4"/>
      <c r="AA122" s="4"/>
      <c r="AB122" s="4"/>
      <c r="AC122" s="4"/>
      <c r="AD122" s="4"/>
      <c r="AE122" s="25"/>
      <c r="AF122" s="4"/>
      <c r="AG122" s="4"/>
      <c r="AH122" s="4"/>
      <c r="AI122" s="4"/>
      <c r="AM122" s="26"/>
      <c r="AN122" s="26"/>
      <c r="AO122" s="26"/>
      <c r="AP122" s="26"/>
    </row>
    <row r="123" spans="1:42" ht="12.75" customHeight="1" x14ac:dyDescent="0.2">
      <c r="A123" s="5"/>
      <c r="B123" s="5"/>
      <c r="C123" s="5"/>
      <c r="E123" s="5"/>
      <c r="F123" s="5"/>
      <c r="N123" s="5"/>
      <c r="O123" s="5"/>
      <c r="X123" s="4"/>
      <c r="Y123" s="4"/>
      <c r="Z123" s="4"/>
      <c r="AA123" s="4"/>
      <c r="AB123" s="4"/>
      <c r="AC123" s="4"/>
      <c r="AD123" s="4"/>
      <c r="AE123" s="25"/>
      <c r="AF123" s="4"/>
      <c r="AG123" s="4"/>
      <c r="AH123" s="4"/>
      <c r="AI123" s="4"/>
      <c r="AM123" s="26"/>
      <c r="AN123" s="26"/>
      <c r="AO123" s="26"/>
      <c r="AP123" s="26"/>
    </row>
    <row r="124" spans="1:42" ht="12.75" customHeight="1" x14ac:dyDescent="0.2">
      <c r="A124" s="5"/>
      <c r="B124" s="5"/>
      <c r="C124" s="5"/>
      <c r="E124" s="5"/>
      <c r="F124" s="5"/>
      <c r="N124" s="5"/>
      <c r="O124" s="5"/>
      <c r="X124" s="4"/>
      <c r="Y124" s="4"/>
      <c r="Z124" s="4"/>
      <c r="AA124" s="4"/>
      <c r="AB124" s="4"/>
      <c r="AC124" s="4"/>
      <c r="AD124" s="4"/>
      <c r="AE124" s="25"/>
      <c r="AF124" s="4"/>
      <c r="AG124" s="4"/>
      <c r="AH124" s="4"/>
      <c r="AI124" s="4"/>
      <c r="AM124" s="26"/>
      <c r="AN124" s="26"/>
      <c r="AO124" s="26"/>
      <c r="AP124" s="26"/>
    </row>
    <row r="125" spans="1:42" ht="12.75" customHeight="1" x14ac:dyDescent="0.2">
      <c r="A125" s="5"/>
      <c r="B125" s="5"/>
      <c r="C125" s="5"/>
      <c r="E125" s="5"/>
      <c r="F125" s="5"/>
      <c r="N125" s="5"/>
      <c r="O125" s="5"/>
      <c r="X125" s="4"/>
      <c r="Y125" s="4"/>
      <c r="Z125" s="4"/>
      <c r="AA125" s="4"/>
      <c r="AB125" s="4"/>
      <c r="AC125" s="4"/>
      <c r="AD125" s="4"/>
      <c r="AE125" s="25"/>
      <c r="AF125" s="4"/>
      <c r="AG125" s="4"/>
      <c r="AH125" s="4"/>
      <c r="AI125" s="4"/>
      <c r="AM125" s="26"/>
      <c r="AN125" s="26"/>
      <c r="AO125" s="26"/>
      <c r="AP125" s="26"/>
    </row>
    <row r="126" spans="1:42" ht="12.75" customHeight="1" x14ac:dyDescent="0.2">
      <c r="A126" s="5"/>
      <c r="B126" s="5"/>
      <c r="C126" s="5"/>
      <c r="E126" s="5"/>
      <c r="F126" s="5"/>
      <c r="N126" s="5"/>
      <c r="O126" s="5"/>
      <c r="X126" s="4"/>
      <c r="Y126" s="4"/>
      <c r="Z126" s="4"/>
      <c r="AA126" s="4"/>
      <c r="AB126" s="4"/>
      <c r="AC126" s="4"/>
      <c r="AD126" s="4"/>
      <c r="AE126" s="25"/>
      <c r="AF126" s="4"/>
      <c r="AG126" s="4"/>
      <c r="AH126" s="4"/>
      <c r="AI126" s="4"/>
      <c r="AM126" s="26"/>
      <c r="AN126" s="26"/>
      <c r="AO126" s="26"/>
      <c r="AP126" s="26"/>
    </row>
    <row r="127" spans="1:42" ht="12.75" customHeight="1" x14ac:dyDescent="0.2">
      <c r="A127" s="5"/>
      <c r="B127" s="5"/>
      <c r="C127" s="5"/>
      <c r="E127" s="5"/>
      <c r="F127" s="5"/>
      <c r="N127" s="5"/>
      <c r="O127" s="5"/>
      <c r="X127" s="4"/>
      <c r="Y127" s="4"/>
      <c r="Z127" s="4"/>
      <c r="AA127" s="4"/>
      <c r="AB127" s="4"/>
      <c r="AC127" s="4"/>
      <c r="AD127" s="4"/>
      <c r="AE127" s="25"/>
      <c r="AF127" s="4"/>
      <c r="AG127" s="4"/>
      <c r="AH127" s="4"/>
      <c r="AI127" s="4"/>
      <c r="AM127" s="26"/>
      <c r="AN127" s="26"/>
      <c r="AO127" s="26"/>
      <c r="AP127" s="26"/>
    </row>
    <row r="128" spans="1:42" ht="12.75" customHeight="1" x14ac:dyDescent="0.2">
      <c r="A128" s="5"/>
      <c r="B128" s="5"/>
      <c r="C128" s="5"/>
      <c r="E128" s="5"/>
      <c r="F128" s="5"/>
      <c r="N128" s="5"/>
      <c r="O128" s="5"/>
      <c r="X128" s="4"/>
      <c r="Y128" s="4"/>
      <c r="Z128" s="4"/>
      <c r="AA128" s="4"/>
      <c r="AB128" s="4"/>
      <c r="AC128" s="4"/>
      <c r="AD128" s="4"/>
      <c r="AE128" s="25"/>
      <c r="AF128" s="4"/>
      <c r="AG128" s="4"/>
      <c r="AH128" s="4"/>
      <c r="AI128" s="4"/>
      <c r="AM128" s="26"/>
      <c r="AN128" s="26"/>
      <c r="AO128" s="26"/>
      <c r="AP128" s="26"/>
    </row>
    <row r="129" spans="1:42" ht="12.75" customHeight="1" x14ac:dyDescent="0.2">
      <c r="A129" s="5"/>
      <c r="B129" s="5"/>
      <c r="C129" s="5"/>
      <c r="E129" s="5"/>
      <c r="F129" s="5"/>
      <c r="N129" s="5"/>
      <c r="O129" s="5"/>
      <c r="X129" s="4"/>
      <c r="Y129" s="4"/>
      <c r="Z129" s="4"/>
      <c r="AA129" s="4"/>
      <c r="AB129" s="4"/>
      <c r="AC129" s="4"/>
      <c r="AD129" s="4"/>
      <c r="AE129" s="25"/>
      <c r="AF129" s="4"/>
      <c r="AG129" s="4"/>
      <c r="AH129" s="4"/>
      <c r="AI129" s="4"/>
      <c r="AM129" s="26"/>
      <c r="AN129" s="26"/>
      <c r="AO129" s="26"/>
      <c r="AP129" s="26"/>
    </row>
    <row r="130" spans="1:42" ht="12.75" customHeight="1" x14ac:dyDescent="0.2">
      <c r="A130" s="5"/>
      <c r="B130" s="5"/>
      <c r="C130" s="5"/>
      <c r="E130" s="5"/>
      <c r="F130" s="5"/>
      <c r="N130" s="5"/>
      <c r="O130" s="5"/>
      <c r="X130" s="4"/>
      <c r="Y130" s="4"/>
      <c r="Z130" s="4"/>
      <c r="AA130" s="4"/>
      <c r="AB130" s="4"/>
      <c r="AC130" s="4"/>
      <c r="AD130" s="4"/>
      <c r="AE130" s="25"/>
      <c r="AF130" s="4"/>
      <c r="AG130" s="4"/>
      <c r="AH130" s="4"/>
      <c r="AI130" s="4"/>
      <c r="AM130" s="26"/>
      <c r="AN130" s="26"/>
      <c r="AO130" s="26"/>
      <c r="AP130" s="26"/>
    </row>
    <row r="131" spans="1:42" ht="12.75" customHeight="1" x14ac:dyDescent="0.2">
      <c r="A131" s="5"/>
      <c r="B131" s="5"/>
      <c r="C131" s="5"/>
      <c r="E131" s="5"/>
      <c r="F131" s="5"/>
      <c r="N131" s="5"/>
      <c r="O131" s="5"/>
      <c r="X131" s="4"/>
      <c r="Y131" s="4"/>
      <c r="Z131" s="4"/>
      <c r="AA131" s="4"/>
      <c r="AB131" s="4"/>
      <c r="AC131" s="4"/>
      <c r="AD131" s="4"/>
      <c r="AE131" s="25"/>
      <c r="AF131" s="4"/>
      <c r="AG131" s="4"/>
      <c r="AH131" s="4"/>
      <c r="AI131" s="4"/>
      <c r="AM131" s="26"/>
      <c r="AN131" s="26"/>
      <c r="AO131" s="26"/>
      <c r="AP131" s="26"/>
    </row>
    <row r="132" spans="1:42" ht="12.75" customHeight="1" x14ac:dyDescent="0.2">
      <c r="A132" s="5"/>
      <c r="B132" s="5"/>
      <c r="C132" s="5"/>
      <c r="E132" s="5"/>
      <c r="F132" s="5"/>
      <c r="N132" s="5"/>
      <c r="O132" s="5"/>
      <c r="X132" s="4"/>
      <c r="Y132" s="4"/>
      <c r="Z132" s="4"/>
      <c r="AA132" s="4"/>
      <c r="AB132" s="4"/>
      <c r="AC132" s="4"/>
      <c r="AD132" s="4"/>
      <c r="AE132" s="25"/>
      <c r="AF132" s="4"/>
      <c r="AG132" s="4"/>
      <c r="AH132" s="4"/>
      <c r="AI132" s="4"/>
      <c r="AM132" s="26"/>
      <c r="AN132" s="26"/>
      <c r="AO132" s="26"/>
      <c r="AP132" s="26"/>
    </row>
    <row r="133" spans="1:42" ht="12.75" customHeight="1" x14ac:dyDescent="0.2">
      <c r="A133" s="5"/>
      <c r="B133" s="5"/>
      <c r="C133" s="5"/>
      <c r="E133" s="5"/>
      <c r="F133" s="5"/>
      <c r="N133" s="5"/>
      <c r="O133" s="5"/>
      <c r="X133" s="4"/>
      <c r="Y133" s="4"/>
      <c r="Z133" s="4"/>
      <c r="AA133" s="4"/>
      <c r="AB133" s="4"/>
      <c r="AC133" s="4"/>
      <c r="AD133" s="4"/>
      <c r="AE133" s="25"/>
      <c r="AF133" s="4"/>
      <c r="AG133" s="4"/>
      <c r="AH133" s="4"/>
      <c r="AI133" s="4"/>
      <c r="AM133" s="26"/>
      <c r="AN133" s="26"/>
      <c r="AO133" s="26"/>
      <c r="AP133" s="26"/>
    </row>
    <row r="134" spans="1:42" ht="12.75" customHeight="1" x14ac:dyDescent="0.2">
      <c r="A134" s="5"/>
      <c r="B134" s="5"/>
      <c r="C134" s="5"/>
      <c r="E134" s="5"/>
      <c r="F134" s="5"/>
      <c r="N134" s="5"/>
      <c r="O134" s="5"/>
      <c r="X134" s="4"/>
      <c r="Y134" s="4"/>
      <c r="Z134" s="4"/>
      <c r="AA134" s="4"/>
      <c r="AB134" s="4"/>
      <c r="AC134" s="4"/>
      <c r="AD134" s="4"/>
      <c r="AE134" s="25"/>
      <c r="AF134" s="4"/>
      <c r="AG134" s="4"/>
      <c r="AH134" s="4"/>
      <c r="AI134" s="4"/>
      <c r="AM134" s="26"/>
      <c r="AN134" s="26"/>
      <c r="AO134" s="26"/>
      <c r="AP134" s="26"/>
    </row>
    <row r="135" spans="1:42" ht="12.75" customHeight="1" x14ac:dyDescent="0.2">
      <c r="A135" s="5"/>
      <c r="B135" s="5"/>
      <c r="C135" s="5"/>
      <c r="E135" s="5"/>
      <c r="F135" s="5"/>
      <c r="N135" s="5"/>
      <c r="O135" s="5"/>
      <c r="X135" s="4"/>
      <c r="Y135" s="4"/>
      <c r="Z135" s="4"/>
      <c r="AA135" s="4"/>
      <c r="AB135" s="4"/>
      <c r="AC135" s="4"/>
      <c r="AD135" s="4"/>
      <c r="AE135" s="25"/>
      <c r="AF135" s="4"/>
      <c r="AG135" s="4"/>
      <c r="AH135" s="4"/>
      <c r="AI135" s="4"/>
      <c r="AM135" s="26"/>
      <c r="AN135" s="26"/>
      <c r="AO135" s="26"/>
      <c r="AP135" s="26"/>
    </row>
    <row r="136" spans="1:42" ht="12.75" customHeight="1" x14ac:dyDescent="0.2">
      <c r="A136" s="5"/>
      <c r="B136" s="5"/>
      <c r="C136" s="5"/>
      <c r="E136" s="5"/>
      <c r="F136" s="5"/>
      <c r="N136" s="5"/>
      <c r="O136" s="5"/>
      <c r="X136" s="4"/>
      <c r="Y136" s="4"/>
      <c r="Z136" s="4"/>
      <c r="AA136" s="4"/>
      <c r="AB136" s="4"/>
      <c r="AC136" s="4"/>
      <c r="AD136" s="4"/>
      <c r="AE136" s="25"/>
      <c r="AF136" s="4"/>
      <c r="AG136" s="4"/>
      <c r="AH136" s="4"/>
      <c r="AI136" s="4"/>
      <c r="AM136" s="26"/>
      <c r="AN136" s="26"/>
      <c r="AO136" s="26"/>
      <c r="AP136" s="26"/>
    </row>
    <row r="137" spans="1:42" ht="12.75" customHeight="1" x14ac:dyDescent="0.2">
      <c r="A137" s="5"/>
      <c r="B137" s="5"/>
      <c r="C137" s="5"/>
      <c r="E137" s="5"/>
      <c r="F137" s="5"/>
      <c r="N137" s="5"/>
      <c r="O137" s="5"/>
      <c r="X137" s="4"/>
      <c r="Y137" s="4"/>
      <c r="Z137" s="4"/>
      <c r="AA137" s="4"/>
      <c r="AB137" s="4"/>
      <c r="AC137" s="4"/>
      <c r="AD137" s="4"/>
      <c r="AE137" s="25"/>
      <c r="AF137" s="4"/>
      <c r="AG137" s="4"/>
      <c r="AH137" s="4"/>
      <c r="AI137" s="4"/>
      <c r="AM137" s="26"/>
      <c r="AN137" s="26"/>
      <c r="AO137" s="26"/>
      <c r="AP137" s="26"/>
    </row>
    <row r="138" spans="1:42" ht="12.75" customHeight="1" x14ac:dyDescent="0.2">
      <c r="A138" s="5"/>
      <c r="B138" s="5"/>
      <c r="C138" s="5"/>
      <c r="E138" s="5"/>
      <c r="F138" s="5"/>
      <c r="N138" s="5"/>
      <c r="O138" s="5"/>
      <c r="X138" s="4"/>
      <c r="Y138" s="4"/>
      <c r="Z138" s="4"/>
      <c r="AA138" s="4"/>
      <c r="AB138" s="4"/>
      <c r="AC138" s="4"/>
      <c r="AD138" s="4"/>
      <c r="AE138" s="25"/>
      <c r="AF138" s="4"/>
      <c r="AG138" s="4"/>
      <c r="AH138" s="4"/>
      <c r="AI138" s="4"/>
      <c r="AM138" s="26"/>
      <c r="AN138" s="26"/>
      <c r="AO138" s="26"/>
      <c r="AP138" s="26"/>
    </row>
    <row r="139" spans="1:42" ht="12.75" customHeight="1" x14ac:dyDescent="0.2">
      <c r="A139" s="5"/>
      <c r="B139" s="5"/>
      <c r="C139" s="5"/>
      <c r="E139" s="5"/>
      <c r="F139" s="5"/>
      <c r="N139" s="5"/>
      <c r="O139" s="5"/>
      <c r="X139" s="4"/>
      <c r="Y139" s="4"/>
      <c r="Z139" s="4"/>
      <c r="AA139" s="4"/>
      <c r="AB139" s="4"/>
      <c r="AC139" s="4"/>
      <c r="AD139" s="4"/>
      <c r="AE139" s="25"/>
      <c r="AF139" s="4"/>
      <c r="AG139" s="4"/>
      <c r="AH139" s="4"/>
      <c r="AI139" s="4"/>
      <c r="AM139" s="26"/>
      <c r="AN139" s="26"/>
      <c r="AO139" s="26"/>
      <c r="AP139" s="26"/>
    </row>
    <row r="140" spans="1:42" ht="12.75" customHeight="1" x14ac:dyDescent="0.2">
      <c r="A140" s="5"/>
      <c r="B140" s="5"/>
      <c r="C140" s="5"/>
      <c r="E140" s="5"/>
      <c r="F140" s="5"/>
      <c r="N140" s="5"/>
      <c r="O140" s="5"/>
      <c r="X140" s="4"/>
      <c r="Y140" s="4"/>
      <c r="Z140" s="4"/>
      <c r="AA140" s="4"/>
      <c r="AB140" s="4"/>
      <c r="AC140" s="4"/>
      <c r="AD140" s="4"/>
      <c r="AE140" s="25"/>
      <c r="AF140" s="4"/>
      <c r="AG140" s="4"/>
      <c r="AH140" s="4"/>
      <c r="AI140" s="4"/>
      <c r="AM140" s="26"/>
      <c r="AN140" s="26"/>
      <c r="AO140" s="26"/>
      <c r="AP140" s="26"/>
    </row>
    <row r="141" spans="1:42" ht="12.75" customHeight="1" x14ac:dyDescent="0.2">
      <c r="A141" s="5"/>
      <c r="B141" s="5"/>
      <c r="C141" s="5"/>
      <c r="E141" s="5"/>
      <c r="F141" s="5"/>
      <c r="N141" s="5"/>
      <c r="O141" s="5"/>
      <c r="X141" s="4"/>
      <c r="Y141" s="4"/>
      <c r="Z141" s="4"/>
      <c r="AA141" s="4"/>
      <c r="AB141" s="4"/>
      <c r="AC141" s="4"/>
      <c r="AD141" s="4"/>
      <c r="AE141" s="25"/>
      <c r="AF141" s="4"/>
      <c r="AG141" s="4"/>
      <c r="AH141" s="4"/>
      <c r="AI141" s="4"/>
      <c r="AM141" s="26"/>
      <c r="AN141" s="26"/>
      <c r="AO141" s="26"/>
      <c r="AP141" s="26"/>
    </row>
    <row r="142" spans="1:42" ht="12.75" customHeight="1" x14ac:dyDescent="0.2">
      <c r="A142" s="5"/>
      <c r="B142" s="5"/>
      <c r="C142" s="5"/>
      <c r="E142" s="5"/>
      <c r="F142" s="5"/>
      <c r="N142" s="5"/>
      <c r="O142" s="5"/>
      <c r="X142" s="4"/>
      <c r="Y142" s="4"/>
      <c r="Z142" s="4"/>
      <c r="AA142" s="4"/>
      <c r="AB142" s="4"/>
      <c r="AC142" s="4"/>
      <c r="AD142" s="4"/>
      <c r="AE142" s="25"/>
      <c r="AF142" s="4"/>
      <c r="AG142" s="4"/>
      <c r="AH142" s="4"/>
      <c r="AI142" s="4"/>
      <c r="AM142" s="26"/>
      <c r="AN142" s="26"/>
      <c r="AO142" s="26"/>
      <c r="AP142" s="26"/>
    </row>
    <row r="143" spans="1:42" ht="12.75" customHeight="1" x14ac:dyDescent="0.2">
      <c r="A143" s="5"/>
      <c r="B143" s="5"/>
      <c r="C143" s="5"/>
      <c r="E143" s="5"/>
      <c r="F143" s="5"/>
      <c r="N143" s="5"/>
      <c r="O143" s="5"/>
      <c r="X143" s="4"/>
      <c r="Y143" s="4"/>
      <c r="Z143" s="4"/>
      <c r="AA143" s="4"/>
      <c r="AB143" s="4"/>
      <c r="AC143" s="4"/>
      <c r="AD143" s="4"/>
      <c r="AE143" s="25"/>
      <c r="AF143" s="4"/>
      <c r="AG143" s="4"/>
      <c r="AH143" s="4"/>
      <c r="AI143" s="4"/>
      <c r="AM143" s="26"/>
      <c r="AN143" s="26"/>
      <c r="AO143" s="26"/>
      <c r="AP143" s="26"/>
    </row>
    <row r="144" spans="1:42" ht="12.75" customHeight="1" x14ac:dyDescent="0.2">
      <c r="A144" s="5"/>
      <c r="B144" s="5"/>
      <c r="C144" s="5"/>
      <c r="E144" s="5"/>
      <c r="F144" s="5"/>
      <c r="N144" s="5"/>
      <c r="O144" s="5"/>
      <c r="X144" s="4"/>
      <c r="Y144" s="4"/>
      <c r="Z144" s="4"/>
      <c r="AA144" s="4"/>
      <c r="AB144" s="4"/>
      <c r="AC144" s="4"/>
      <c r="AD144" s="4"/>
      <c r="AE144" s="25"/>
      <c r="AF144" s="4"/>
      <c r="AG144" s="4"/>
      <c r="AH144" s="4"/>
      <c r="AI144" s="4"/>
      <c r="AM144" s="26"/>
      <c r="AN144" s="26"/>
      <c r="AO144" s="26"/>
      <c r="AP144" s="26"/>
    </row>
    <row r="145" spans="1:42" ht="12.75" customHeight="1" x14ac:dyDescent="0.2">
      <c r="A145" s="5"/>
      <c r="B145" s="5"/>
      <c r="C145" s="5"/>
      <c r="E145" s="5"/>
      <c r="F145" s="5"/>
      <c r="N145" s="5"/>
      <c r="O145" s="5"/>
      <c r="X145" s="4"/>
      <c r="Y145" s="4"/>
      <c r="Z145" s="4"/>
      <c r="AA145" s="4"/>
      <c r="AB145" s="4"/>
      <c r="AC145" s="4"/>
      <c r="AD145" s="4"/>
      <c r="AE145" s="25"/>
      <c r="AF145" s="4"/>
      <c r="AG145" s="4"/>
      <c r="AH145" s="4"/>
      <c r="AI145" s="4"/>
      <c r="AM145" s="26"/>
      <c r="AN145" s="26"/>
      <c r="AO145" s="26"/>
      <c r="AP145" s="26"/>
    </row>
    <row r="146" spans="1:42" ht="12.75" customHeight="1" x14ac:dyDescent="0.2">
      <c r="A146" s="5"/>
      <c r="B146" s="5"/>
      <c r="C146" s="5"/>
      <c r="E146" s="5"/>
      <c r="F146" s="5"/>
      <c r="N146" s="5"/>
      <c r="O146" s="5"/>
      <c r="X146" s="4"/>
      <c r="Y146" s="4"/>
      <c r="Z146" s="4"/>
      <c r="AA146" s="4"/>
      <c r="AB146" s="4"/>
      <c r="AC146" s="4"/>
      <c r="AD146" s="4"/>
      <c r="AE146" s="25"/>
      <c r="AF146" s="4"/>
      <c r="AG146" s="4"/>
      <c r="AH146" s="4"/>
      <c r="AI146" s="4"/>
      <c r="AM146" s="26"/>
      <c r="AN146" s="26"/>
      <c r="AO146" s="26"/>
      <c r="AP146" s="26"/>
    </row>
    <row r="147" spans="1:42" ht="12.75" customHeight="1" x14ac:dyDescent="0.2">
      <c r="A147" s="5"/>
      <c r="B147" s="5"/>
      <c r="C147" s="5"/>
      <c r="E147" s="5"/>
      <c r="F147" s="5"/>
      <c r="N147" s="5"/>
      <c r="O147" s="5"/>
      <c r="X147" s="4"/>
      <c r="Y147" s="4"/>
      <c r="Z147" s="4"/>
      <c r="AA147" s="4"/>
      <c r="AB147" s="4"/>
      <c r="AC147" s="4"/>
      <c r="AD147" s="4"/>
      <c r="AE147" s="25"/>
      <c r="AF147" s="4"/>
      <c r="AG147" s="4"/>
      <c r="AH147" s="4"/>
      <c r="AI147" s="4"/>
      <c r="AM147" s="26"/>
      <c r="AN147" s="26"/>
      <c r="AO147" s="26"/>
      <c r="AP147" s="26"/>
    </row>
    <row r="148" spans="1:42" ht="12.75" customHeight="1" x14ac:dyDescent="0.2">
      <c r="A148" s="5"/>
      <c r="B148" s="5"/>
      <c r="C148" s="5"/>
      <c r="E148" s="5"/>
      <c r="F148" s="5"/>
      <c r="N148" s="5"/>
      <c r="O148" s="5"/>
      <c r="X148" s="4"/>
      <c r="Y148" s="4"/>
      <c r="Z148" s="4"/>
      <c r="AA148" s="4"/>
      <c r="AB148" s="4"/>
      <c r="AC148" s="4"/>
      <c r="AD148" s="4"/>
      <c r="AE148" s="25"/>
      <c r="AF148" s="4"/>
      <c r="AG148" s="4"/>
      <c r="AH148" s="4"/>
      <c r="AI148" s="4"/>
      <c r="AM148" s="26"/>
      <c r="AN148" s="26"/>
      <c r="AO148" s="26"/>
      <c r="AP148" s="26"/>
    </row>
    <row r="149" spans="1:42" ht="12.75" customHeight="1" x14ac:dyDescent="0.2">
      <c r="A149" s="5"/>
      <c r="B149" s="5"/>
      <c r="C149" s="5"/>
      <c r="E149" s="5"/>
      <c r="F149" s="5"/>
      <c r="N149" s="5"/>
      <c r="O149" s="5"/>
      <c r="X149" s="4"/>
      <c r="Y149" s="4"/>
      <c r="Z149" s="4"/>
      <c r="AA149" s="4"/>
      <c r="AB149" s="4"/>
      <c r="AC149" s="4"/>
      <c r="AD149" s="4"/>
      <c r="AE149" s="25"/>
      <c r="AF149" s="4"/>
      <c r="AG149" s="4"/>
      <c r="AH149" s="4"/>
      <c r="AI149" s="4"/>
      <c r="AM149" s="26"/>
      <c r="AN149" s="26"/>
      <c r="AO149" s="26"/>
      <c r="AP149" s="26"/>
    </row>
    <row r="150" spans="1:42" ht="12.75" customHeight="1" x14ac:dyDescent="0.2">
      <c r="A150" s="5"/>
      <c r="B150" s="5"/>
      <c r="C150" s="5"/>
      <c r="E150" s="5"/>
      <c r="F150" s="5"/>
      <c r="N150" s="5"/>
      <c r="O150" s="5"/>
      <c r="X150" s="4"/>
      <c r="Y150" s="4"/>
      <c r="Z150" s="4"/>
      <c r="AA150" s="4"/>
      <c r="AB150" s="4"/>
      <c r="AC150" s="4"/>
      <c r="AD150" s="4"/>
      <c r="AE150" s="25"/>
      <c r="AF150" s="4"/>
      <c r="AG150" s="4"/>
      <c r="AH150" s="4"/>
      <c r="AI150" s="4"/>
      <c r="AM150" s="26"/>
      <c r="AN150" s="26"/>
      <c r="AO150" s="26"/>
      <c r="AP150" s="26"/>
    </row>
    <row r="151" spans="1:42" ht="12.75" customHeight="1" x14ac:dyDescent="0.2">
      <c r="A151" s="5"/>
      <c r="B151" s="5"/>
      <c r="C151" s="5"/>
      <c r="E151" s="5"/>
      <c r="F151" s="5"/>
      <c r="N151" s="5"/>
      <c r="O151" s="5"/>
      <c r="X151" s="4"/>
      <c r="Y151" s="4"/>
      <c r="Z151" s="4"/>
      <c r="AA151" s="4"/>
      <c r="AB151" s="4"/>
      <c r="AC151" s="4"/>
      <c r="AD151" s="4"/>
      <c r="AE151" s="25"/>
      <c r="AF151" s="4"/>
      <c r="AG151" s="4"/>
      <c r="AH151" s="4"/>
      <c r="AI151" s="4"/>
      <c r="AM151" s="26"/>
      <c r="AN151" s="26"/>
      <c r="AO151" s="26"/>
      <c r="AP151" s="26"/>
    </row>
    <row r="152" spans="1:42" ht="12.75" customHeight="1" x14ac:dyDescent="0.2">
      <c r="A152" s="5"/>
      <c r="B152" s="5"/>
      <c r="C152" s="5"/>
      <c r="E152" s="5"/>
      <c r="F152" s="5"/>
      <c r="N152" s="5"/>
      <c r="O152" s="5"/>
      <c r="X152" s="4"/>
      <c r="Y152" s="4"/>
      <c r="Z152" s="4"/>
      <c r="AA152" s="4"/>
      <c r="AB152" s="4"/>
      <c r="AC152" s="4"/>
      <c r="AD152" s="4"/>
      <c r="AE152" s="25"/>
      <c r="AF152" s="4"/>
      <c r="AG152" s="4"/>
      <c r="AH152" s="4"/>
      <c r="AI152" s="4"/>
      <c r="AM152" s="26"/>
      <c r="AN152" s="26"/>
      <c r="AO152" s="26"/>
      <c r="AP152" s="26"/>
    </row>
    <row r="153" spans="1:42" ht="12.75" customHeight="1" x14ac:dyDescent="0.2">
      <c r="A153" s="5"/>
      <c r="B153" s="5"/>
      <c r="C153" s="5"/>
      <c r="E153" s="5"/>
      <c r="F153" s="5"/>
      <c r="N153" s="5"/>
      <c r="O153" s="5"/>
      <c r="X153" s="4"/>
      <c r="Y153" s="4"/>
      <c r="Z153" s="4"/>
      <c r="AA153" s="4"/>
      <c r="AB153" s="4"/>
      <c r="AC153" s="4"/>
      <c r="AD153" s="4"/>
      <c r="AE153" s="25"/>
      <c r="AF153" s="4"/>
      <c r="AG153" s="4"/>
      <c r="AH153" s="4"/>
      <c r="AI153" s="4"/>
      <c r="AM153" s="26"/>
      <c r="AN153" s="26"/>
      <c r="AO153" s="26"/>
      <c r="AP153" s="26"/>
    </row>
    <row r="154" spans="1:42" ht="12.75" customHeight="1" x14ac:dyDescent="0.2">
      <c r="A154" s="5"/>
      <c r="B154" s="5"/>
      <c r="C154" s="5"/>
      <c r="E154" s="5"/>
      <c r="F154" s="5"/>
      <c r="N154" s="5"/>
      <c r="O154" s="5"/>
      <c r="X154" s="4"/>
      <c r="Y154" s="4"/>
      <c r="Z154" s="4"/>
      <c r="AA154" s="4"/>
      <c r="AB154" s="4"/>
      <c r="AC154" s="4"/>
      <c r="AD154" s="4"/>
      <c r="AE154" s="25"/>
      <c r="AF154" s="4"/>
      <c r="AG154" s="4"/>
      <c r="AH154" s="4"/>
      <c r="AI154" s="4"/>
      <c r="AM154" s="26"/>
      <c r="AN154" s="26"/>
      <c r="AO154" s="26"/>
      <c r="AP154" s="26"/>
    </row>
    <row r="155" spans="1:42" ht="12.75" customHeight="1" x14ac:dyDescent="0.2">
      <c r="A155" s="5"/>
      <c r="B155" s="5"/>
      <c r="C155" s="5"/>
      <c r="E155" s="5"/>
      <c r="F155" s="5"/>
      <c r="N155" s="5"/>
      <c r="O155" s="5"/>
      <c r="X155" s="4"/>
      <c r="Y155" s="4"/>
      <c r="Z155" s="4"/>
      <c r="AA155" s="4"/>
      <c r="AB155" s="4"/>
      <c r="AC155" s="4"/>
      <c r="AD155" s="4"/>
      <c r="AE155" s="25"/>
      <c r="AF155" s="4"/>
      <c r="AG155" s="4"/>
      <c r="AH155" s="4"/>
      <c r="AI155" s="4"/>
      <c r="AM155" s="26"/>
      <c r="AN155" s="26"/>
      <c r="AO155" s="26"/>
      <c r="AP155" s="26"/>
    </row>
    <row r="156" spans="1:42" ht="12.75" customHeight="1" x14ac:dyDescent="0.2">
      <c r="A156" s="5"/>
      <c r="B156" s="5"/>
      <c r="C156" s="5"/>
      <c r="E156" s="5"/>
      <c r="F156" s="5"/>
      <c r="N156" s="5"/>
      <c r="O156" s="5"/>
      <c r="X156" s="4"/>
      <c r="Y156" s="4"/>
      <c r="Z156" s="4"/>
      <c r="AA156" s="4"/>
      <c r="AB156" s="4"/>
      <c r="AC156" s="4"/>
      <c r="AD156" s="4"/>
      <c r="AE156" s="25"/>
      <c r="AF156" s="4"/>
      <c r="AG156" s="4"/>
      <c r="AH156" s="4"/>
      <c r="AI156" s="4"/>
      <c r="AM156" s="26"/>
      <c r="AN156" s="26"/>
      <c r="AO156" s="26"/>
      <c r="AP156" s="26"/>
    </row>
    <row r="157" spans="1:42" ht="12.75" customHeight="1" x14ac:dyDescent="0.2">
      <c r="A157" s="5"/>
      <c r="B157" s="5"/>
      <c r="C157" s="5"/>
      <c r="E157" s="5"/>
      <c r="F157" s="5"/>
      <c r="N157" s="5"/>
      <c r="O157" s="5"/>
      <c r="X157" s="4"/>
      <c r="Y157" s="4"/>
      <c r="Z157" s="4"/>
      <c r="AA157" s="4"/>
      <c r="AB157" s="4"/>
      <c r="AC157" s="4"/>
      <c r="AD157" s="4"/>
      <c r="AE157" s="25"/>
      <c r="AF157" s="4"/>
      <c r="AG157" s="4"/>
      <c r="AH157" s="4"/>
      <c r="AI157" s="4"/>
      <c r="AM157" s="26"/>
      <c r="AN157" s="26"/>
      <c r="AO157" s="26"/>
      <c r="AP157" s="26"/>
    </row>
    <row r="158" spans="1:42" ht="12.75" customHeight="1" x14ac:dyDescent="0.2">
      <c r="A158" s="5"/>
      <c r="B158" s="5"/>
      <c r="C158" s="5"/>
      <c r="E158" s="5"/>
      <c r="F158" s="5"/>
      <c r="N158" s="5"/>
      <c r="O158" s="5"/>
      <c r="X158" s="4"/>
      <c r="Y158" s="4"/>
      <c r="Z158" s="4"/>
      <c r="AA158" s="4"/>
      <c r="AB158" s="4"/>
      <c r="AC158" s="4"/>
      <c r="AD158" s="4"/>
      <c r="AE158" s="25"/>
      <c r="AF158" s="4"/>
      <c r="AG158" s="4"/>
      <c r="AH158" s="4"/>
      <c r="AI158" s="4"/>
      <c r="AM158" s="26"/>
      <c r="AN158" s="26"/>
      <c r="AO158" s="26"/>
      <c r="AP158" s="26"/>
    </row>
    <row r="159" spans="1:42" ht="12.75" customHeight="1" x14ac:dyDescent="0.2">
      <c r="A159" s="5"/>
      <c r="B159" s="5"/>
      <c r="C159" s="5"/>
      <c r="E159" s="5"/>
      <c r="F159" s="5"/>
      <c r="N159" s="5"/>
      <c r="O159" s="5"/>
      <c r="X159" s="4"/>
      <c r="Y159" s="4"/>
      <c r="Z159" s="4"/>
      <c r="AA159" s="4"/>
      <c r="AB159" s="4"/>
      <c r="AC159" s="4"/>
      <c r="AD159" s="4"/>
      <c r="AE159" s="25"/>
      <c r="AF159" s="4"/>
      <c r="AG159" s="4"/>
      <c r="AH159" s="4"/>
      <c r="AI159" s="4"/>
      <c r="AM159" s="26"/>
      <c r="AN159" s="26"/>
      <c r="AO159" s="26"/>
      <c r="AP159" s="26"/>
    </row>
    <row r="160" spans="1:42" ht="12.75" customHeight="1" x14ac:dyDescent="0.2">
      <c r="A160" s="5"/>
      <c r="B160" s="5"/>
      <c r="C160" s="5"/>
      <c r="E160" s="5"/>
      <c r="F160" s="5"/>
      <c r="N160" s="5"/>
      <c r="O160" s="5"/>
      <c r="X160" s="4"/>
      <c r="Y160" s="4"/>
      <c r="Z160" s="4"/>
      <c r="AA160" s="4"/>
      <c r="AB160" s="4"/>
      <c r="AC160" s="4"/>
      <c r="AD160" s="4"/>
      <c r="AE160" s="25"/>
      <c r="AF160" s="4"/>
      <c r="AG160" s="4"/>
      <c r="AH160" s="4"/>
      <c r="AI160" s="4"/>
      <c r="AM160" s="26"/>
      <c r="AN160" s="26"/>
      <c r="AO160" s="26"/>
      <c r="AP160" s="26"/>
    </row>
    <row r="161" spans="1:42" ht="12.75" customHeight="1" x14ac:dyDescent="0.2">
      <c r="A161" s="5"/>
      <c r="B161" s="5"/>
      <c r="C161" s="5"/>
      <c r="E161" s="5"/>
      <c r="F161" s="5"/>
      <c r="N161" s="5"/>
      <c r="O161" s="5"/>
      <c r="X161" s="4"/>
      <c r="Y161" s="4"/>
      <c r="Z161" s="4"/>
      <c r="AA161" s="4"/>
      <c r="AB161" s="4"/>
      <c r="AC161" s="4"/>
      <c r="AD161" s="4"/>
      <c r="AE161" s="25"/>
      <c r="AF161" s="4"/>
      <c r="AG161" s="4"/>
      <c r="AH161" s="4"/>
      <c r="AI161" s="4"/>
      <c r="AM161" s="26"/>
      <c r="AN161" s="26"/>
      <c r="AO161" s="26"/>
      <c r="AP161" s="26"/>
    </row>
    <row r="162" spans="1:42" ht="12.75" customHeight="1" x14ac:dyDescent="0.2">
      <c r="A162" s="5"/>
      <c r="B162" s="5"/>
      <c r="C162" s="5"/>
      <c r="E162" s="5"/>
      <c r="F162" s="5"/>
      <c r="N162" s="5"/>
      <c r="O162" s="5"/>
      <c r="X162" s="4"/>
      <c r="Y162" s="4"/>
      <c r="Z162" s="4"/>
      <c r="AA162" s="4"/>
      <c r="AB162" s="4"/>
      <c r="AC162" s="4"/>
      <c r="AD162" s="4"/>
      <c r="AE162" s="25"/>
      <c r="AF162" s="4"/>
      <c r="AG162" s="4"/>
      <c r="AH162" s="4"/>
      <c r="AI162" s="4"/>
      <c r="AM162" s="26"/>
      <c r="AN162" s="26"/>
      <c r="AO162" s="26"/>
      <c r="AP162" s="26"/>
    </row>
    <row r="163" spans="1:42" ht="12.75" customHeight="1" x14ac:dyDescent="0.2">
      <c r="A163" s="5"/>
      <c r="B163" s="5"/>
      <c r="C163" s="5"/>
      <c r="E163" s="5"/>
      <c r="F163" s="5"/>
      <c r="N163" s="5"/>
      <c r="O163" s="5"/>
      <c r="X163" s="4"/>
      <c r="Y163" s="4"/>
      <c r="Z163" s="4"/>
      <c r="AA163" s="4"/>
      <c r="AB163" s="4"/>
      <c r="AC163" s="4"/>
      <c r="AD163" s="4"/>
      <c r="AE163" s="25"/>
      <c r="AF163" s="4"/>
      <c r="AG163" s="4"/>
      <c r="AH163" s="4"/>
      <c r="AI163" s="4"/>
      <c r="AM163" s="26"/>
      <c r="AN163" s="26"/>
      <c r="AO163" s="26"/>
      <c r="AP163" s="26"/>
    </row>
    <row r="164" spans="1:42" ht="12.75" customHeight="1" x14ac:dyDescent="0.2">
      <c r="A164" s="5"/>
      <c r="B164" s="5"/>
      <c r="C164" s="5"/>
      <c r="E164" s="5"/>
      <c r="F164" s="5"/>
      <c r="N164" s="5"/>
      <c r="O164" s="5"/>
      <c r="X164" s="4"/>
      <c r="Y164" s="4"/>
      <c r="Z164" s="4"/>
      <c r="AA164" s="4"/>
      <c r="AB164" s="4"/>
      <c r="AC164" s="4"/>
      <c r="AD164" s="4"/>
      <c r="AE164" s="25"/>
      <c r="AF164" s="4"/>
      <c r="AG164" s="4"/>
      <c r="AH164" s="4"/>
      <c r="AI164" s="4"/>
      <c r="AM164" s="26"/>
      <c r="AN164" s="26"/>
      <c r="AO164" s="26"/>
      <c r="AP164" s="26"/>
    </row>
    <row r="165" spans="1:42" ht="12.75" customHeight="1" x14ac:dyDescent="0.2">
      <c r="A165" s="5"/>
      <c r="B165" s="5"/>
      <c r="C165" s="5"/>
      <c r="E165" s="5"/>
      <c r="F165" s="5"/>
      <c r="N165" s="5"/>
      <c r="O165" s="5"/>
      <c r="X165" s="4"/>
      <c r="Y165" s="4"/>
      <c r="Z165" s="4"/>
      <c r="AA165" s="4"/>
      <c r="AB165" s="4"/>
      <c r="AC165" s="4"/>
      <c r="AD165" s="4"/>
      <c r="AE165" s="25"/>
      <c r="AF165" s="4"/>
      <c r="AG165" s="4"/>
      <c r="AH165" s="4"/>
      <c r="AI165" s="4"/>
      <c r="AM165" s="26"/>
      <c r="AN165" s="26"/>
      <c r="AO165" s="26"/>
      <c r="AP165" s="26"/>
    </row>
    <row r="166" spans="1:42" ht="12.75" customHeight="1" x14ac:dyDescent="0.2">
      <c r="A166" s="5"/>
      <c r="B166" s="5"/>
      <c r="C166" s="5"/>
      <c r="E166" s="5"/>
      <c r="F166" s="5"/>
      <c r="N166" s="5"/>
      <c r="O166" s="5"/>
      <c r="X166" s="4"/>
      <c r="Y166" s="4"/>
      <c r="Z166" s="4"/>
      <c r="AA166" s="4"/>
      <c r="AB166" s="4"/>
      <c r="AC166" s="4"/>
      <c r="AD166" s="4"/>
      <c r="AE166" s="25"/>
      <c r="AF166" s="4"/>
      <c r="AG166" s="4"/>
      <c r="AH166" s="4"/>
      <c r="AI166" s="4"/>
      <c r="AM166" s="26"/>
      <c r="AN166" s="26"/>
      <c r="AO166" s="26"/>
      <c r="AP166" s="26"/>
    </row>
    <row r="167" spans="1:42" ht="12.75" customHeight="1" x14ac:dyDescent="0.2">
      <c r="A167" s="5"/>
      <c r="B167" s="5"/>
      <c r="C167" s="5"/>
      <c r="E167" s="5"/>
      <c r="F167" s="5"/>
      <c r="N167" s="5"/>
      <c r="O167" s="5"/>
      <c r="X167" s="4"/>
      <c r="Y167" s="4"/>
      <c r="Z167" s="4"/>
      <c r="AA167" s="4"/>
      <c r="AB167" s="4"/>
      <c r="AC167" s="4"/>
      <c r="AD167" s="4"/>
      <c r="AE167" s="25"/>
      <c r="AF167" s="4"/>
      <c r="AG167" s="4"/>
      <c r="AH167" s="4"/>
      <c r="AI167" s="4"/>
      <c r="AM167" s="26"/>
      <c r="AN167" s="26"/>
      <c r="AO167" s="26"/>
      <c r="AP167" s="26"/>
    </row>
    <row r="168" spans="1:42" ht="12.75" customHeight="1" x14ac:dyDescent="0.2">
      <c r="A168" s="5"/>
      <c r="B168" s="5"/>
      <c r="C168" s="5"/>
      <c r="E168" s="5"/>
      <c r="F168" s="5"/>
      <c r="N168" s="5"/>
      <c r="O168" s="5"/>
      <c r="X168" s="4"/>
      <c r="Y168" s="4"/>
      <c r="Z168" s="4"/>
      <c r="AA168" s="4"/>
      <c r="AB168" s="4"/>
      <c r="AC168" s="4"/>
      <c r="AD168" s="4"/>
      <c r="AE168" s="25"/>
      <c r="AF168" s="4"/>
      <c r="AG168" s="4"/>
      <c r="AH168" s="4"/>
      <c r="AI168" s="4"/>
      <c r="AM168" s="26"/>
      <c r="AN168" s="26"/>
      <c r="AO168" s="26"/>
      <c r="AP168" s="26"/>
    </row>
    <row r="169" spans="1:42" ht="12.75" customHeight="1" x14ac:dyDescent="0.2">
      <c r="A169" s="5"/>
      <c r="B169" s="5"/>
      <c r="C169" s="5"/>
      <c r="E169" s="5"/>
      <c r="F169" s="5"/>
      <c r="N169" s="5"/>
      <c r="O169" s="5"/>
      <c r="X169" s="4"/>
      <c r="Y169" s="4"/>
      <c r="Z169" s="4"/>
      <c r="AA169" s="4"/>
      <c r="AB169" s="4"/>
      <c r="AC169" s="4"/>
      <c r="AD169" s="4"/>
      <c r="AE169" s="25"/>
      <c r="AF169" s="4"/>
      <c r="AG169" s="4"/>
      <c r="AH169" s="4"/>
      <c r="AI169" s="4"/>
      <c r="AM169" s="26"/>
      <c r="AN169" s="26"/>
      <c r="AO169" s="26"/>
      <c r="AP169" s="26"/>
    </row>
    <row r="170" spans="1:42" ht="12.75" customHeight="1" x14ac:dyDescent="0.2">
      <c r="A170" s="5"/>
      <c r="B170" s="5"/>
      <c r="C170" s="5"/>
      <c r="E170" s="5"/>
      <c r="F170" s="5"/>
      <c r="N170" s="5"/>
      <c r="O170" s="5"/>
      <c r="X170" s="4"/>
      <c r="Y170" s="4"/>
      <c r="Z170" s="4"/>
      <c r="AA170" s="4"/>
      <c r="AB170" s="4"/>
      <c r="AC170" s="4"/>
      <c r="AD170" s="4"/>
      <c r="AE170" s="25"/>
      <c r="AF170" s="4"/>
      <c r="AG170" s="4"/>
      <c r="AH170" s="4"/>
      <c r="AI170" s="4"/>
      <c r="AM170" s="26"/>
      <c r="AN170" s="26"/>
      <c r="AO170" s="26"/>
      <c r="AP170" s="26"/>
    </row>
    <row r="171" spans="1:42" ht="12.75" customHeight="1" x14ac:dyDescent="0.2">
      <c r="A171" s="5"/>
      <c r="B171" s="5"/>
      <c r="C171" s="5"/>
      <c r="E171" s="5"/>
      <c r="F171" s="5"/>
      <c r="N171" s="5"/>
      <c r="O171" s="5"/>
      <c r="X171" s="4"/>
      <c r="Y171" s="4"/>
      <c r="Z171" s="4"/>
      <c r="AA171" s="4"/>
      <c r="AB171" s="4"/>
      <c r="AC171" s="4"/>
      <c r="AD171" s="4"/>
      <c r="AE171" s="25"/>
      <c r="AF171" s="4"/>
      <c r="AG171" s="4"/>
      <c r="AH171" s="4"/>
      <c r="AI171" s="4"/>
      <c r="AM171" s="26"/>
      <c r="AN171" s="26"/>
      <c r="AO171" s="26"/>
      <c r="AP171" s="26"/>
    </row>
    <row r="172" spans="1:42" ht="12.75" customHeight="1" x14ac:dyDescent="0.2">
      <c r="A172" s="5"/>
      <c r="B172" s="5"/>
      <c r="C172" s="5"/>
      <c r="E172" s="5"/>
      <c r="F172" s="5"/>
      <c r="N172" s="5"/>
      <c r="O172" s="5"/>
      <c r="X172" s="4"/>
      <c r="Y172" s="4"/>
      <c r="Z172" s="4"/>
      <c r="AA172" s="4"/>
      <c r="AB172" s="4"/>
      <c r="AC172" s="4"/>
      <c r="AD172" s="4"/>
      <c r="AE172" s="25"/>
      <c r="AF172" s="4"/>
      <c r="AG172" s="4"/>
      <c r="AH172" s="4"/>
      <c r="AI172" s="4"/>
      <c r="AM172" s="26"/>
      <c r="AN172" s="26"/>
      <c r="AO172" s="26"/>
      <c r="AP172" s="26"/>
    </row>
    <row r="173" spans="1:42" ht="12.75" customHeight="1" x14ac:dyDescent="0.2">
      <c r="A173" s="5"/>
      <c r="B173" s="5"/>
      <c r="C173" s="5"/>
      <c r="E173" s="5"/>
      <c r="F173" s="5"/>
      <c r="N173" s="5"/>
      <c r="O173" s="5"/>
      <c r="X173" s="4"/>
      <c r="Y173" s="4"/>
      <c r="Z173" s="4"/>
      <c r="AA173" s="4"/>
      <c r="AB173" s="4"/>
      <c r="AC173" s="4"/>
      <c r="AD173" s="4"/>
      <c r="AE173" s="25"/>
      <c r="AF173" s="4"/>
      <c r="AG173" s="4"/>
      <c r="AH173" s="4"/>
      <c r="AI173" s="4"/>
      <c r="AM173" s="26"/>
      <c r="AN173" s="26"/>
      <c r="AO173" s="26"/>
      <c r="AP173" s="26"/>
    </row>
    <row r="174" spans="1:42" ht="12.75" customHeight="1" x14ac:dyDescent="0.2">
      <c r="A174" s="5"/>
      <c r="B174" s="5"/>
      <c r="C174" s="5"/>
      <c r="E174" s="5"/>
      <c r="F174" s="5"/>
      <c r="N174" s="5"/>
      <c r="O174" s="5"/>
      <c r="X174" s="4"/>
      <c r="Y174" s="4"/>
      <c r="Z174" s="4"/>
      <c r="AA174" s="4"/>
      <c r="AB174" s="4"/>
      <c r="AC174" s="4"/>
      <c r="AD174" s="4"/>
      <c r="AE174" s="25"/>
      <c r="AF174" s="4"/>
      <c r="AG174" s="4"/>
      <c r="AH174" s="4"/>
      <c r="AI174" s="4"/>
      <c r="AM174" s="26"/>
      <c r="AN174" s="26"/>
      <c r="AO174" s="26"/>
      <c r="AP174" s="26"/>
    </row>
    <row r="175" spans="1:42" ht="12.75" customHeight="1" x14ac:dyDescent="0.2">
      <c r="A175" s="5"/>
      <c r="B175" s="5"/>
      <c r="C175" s="5"/>
      <c r="E175" s="5"/>
      <c r="F175" s="5"/>
      <c r="N175" s="5"/>
      <c r="O175" s="5"/>
      <c r="X175" s="4"/>
      <c r="Y175" s="4"/>
      <c r="Z175" s="4"/>
      <c r="AA175" s="4"/>
      <c r="AB175" s="4"/>
      <c r="AC175" s="4"/>
      <c r="AD175" s="4"/>
      <c r="AE175" s="25"/>
      <c r="AF175" s="4"/>
      <c r="AG175" s="4"/>
      <c r="AH175" s="4"/>
      <c r="AI175" s="4"/>
      <c r="AM175" s="26"/>
      <c r="AN175" s="26"/>
      <c r="AO175" s="26"/>
      <c r="AP175" s="26"/>
    </row>
    <row r="176" spans="1:42" ht="12.75" customHeight="1" x14ac:dyDescent="0.2">
      <c r="A176" s="5"/>
      <c r="B176" s="5"/>
      <c r="C176" s="5"/>
      <c r="E176" s="5"/>
      <c r="F176" s="5"/>
      <c r="N176" s="5"/>
      <c r="O176" s="5"/>
      <c r="X176" s="4"/>
      <c r="Y176" s="4"/>
      <c r="Z176" s="4"/>
      <c r="AA176" s="4"/>
      <c r="AB176" s="4"/>
      <c r="AC176" s="4"/>
      <c r="AD176" s="4"/>
      <c r="AE176" s="25"/>
      <c r="AF176" s="4"/>
      <c r="AG176" s="4"/>
      <c r="AH176" s="4"/>
      <c r="AI176" s="4"/>
      <c r="AM176" s="26"/>
      <c r="AN176" s="26"/>
      <c r="AO176" s="26"/>
      <c r="AP176" s="26"/>
    </row>
    <row r="177" spans="1:42" ht="12.75" customHeight="1" x14ac:dyDescent="0.2">
      <c r="A177" s="5"/>
      <c r="B177" s="5"/>
      <c r="C177" s="5"/>
      <c r="E177" s="5"/>
      <c r="F177" s="5"/>
      <c r="N177" s="5"/>
      <c r="O177" s="5"/>
      <c r="X177" s="4"/>
      <c r="Y177" s="4"/>
      <c r="Z177" s="4"/>
      <c r="AA177" s="4"/>
      <c r="AB177" s="4"/>
      <c r="AC177" s="4"/>
      <c r="AD177" s="4"/>
      <c r="AE177" s="25"/>
      <c r="AF177" s="4"/>
      <c r="AG177" s="4"/>
      <c r="AH177" s="4"/>
      <c r="AI177" s="4"/>
      <c r="AM177" s="26"/>
      <c r="AN177" s="26"/>
      <c r="AO177" s="26"/>
      <c r="AP177" s="26"/>
    </row>
    <row r="178" spans="1:42" ht="12.75" customHeight="1" x14ac:dyDescent="0.2">
      <c r="A178" s="5"/>
      <c r="B178" s="5"/>
      <c r="C178" s="5"/>
      <c r="E178" s="5"/>
      <c r="F178" s="5"/>
      <c r="N178" s="5"/>
      <c r="O178" s="5"/>
      <c r="X178" s="4"/>
      <c r="Y178" s="4"/>
      <c r="Z178" s="4"/>
      <c r="AA178" s="4"/>
      <c r="AB178" s="4"/>
      <c r="AC178" s="4"/>
      <c r="AD178" s="4"/>
      <c r="AE178" s="25"/>
      <c r="AF178" s="4"/>
      <c r="AG178" s="4"/>
      <c r="AH178" s="4"/>
      <c r="AI178" s="4"/>
      <c r="AM178" s="26"/>
      <c r="AN178" s="26"/>
      <c r="AO178" s="26"/>
      <c r="AP178" s="26"/>
    </row>
    <row r="179" spans="1:42" ht="12.75" customHeight="1" x14ac:dyDescent="0.2">
      <c r="A179" s="5"/>
      <c r="B179" s="5"/>
      <c r="C179" s="5"/>
      <c r="E179" s="5"/>
      <c r="F179" s="5"/>
      <c r="N179" s="5"/>
      <c r="O179" s="5"/>
      <c r="X179" s="4"/>
      <c r="Y179" s="4"/>
      <c r="Z179" s="4"/>
      <c r="AA179" s="4"/>
      <c r="AB179" s="4"/>
      <c r="AC179" s="4"/>
      <c r="AD179" s="4"/>
      <c r="AE179" s="25"/>
      <c r="AF179" s="4"/>
      <c r="AG179" s="4"/>
      <c r="AH179" s="4"/>
      <c r="AI179" s="4"/>
      <c r="AM179" s="26"/>
      <c r="AN179" s="26"/>
      <c r="AO179" s="26"/>
      <c r="AP179" s="26"/>
    </row>
    <row r="180" spans="1:42" ht="12.75" customHeight="1" x14ac:dyDescent="0.2">
      <c r="A180" s="5"/>
      <c r="B180" s="5"/>
      <c r="C180" s="5"/>
      <c r="E180" s="5"/>
      <c r="F180" s="5"/>
      <c r="N180" s="5"/>
      <c r="O180" s="5"/>
      <c r="X180" s="4"/>
      <c r="Y180" s="4"/>
      <c r="Z180" s="4"/>
      <c r="AA180" s="4"/>
      <c r="AB180" s="4"/>
      <c r="AC180" s="4"/>
      <c r="AD180" s="4"/>
      <c r="AE180" s="25"/>
      <c r="AF180" s="4"/>
      <c r="AG180" s="4"/>
      <c r="AH180" s="4"/>
      <c r="AI180" s="4"/>
      <c r="AM180" s="26"/>
      <c r="AN180" s="26"/>
      <c r="AO180" s="26"/>
      <c r="AP180" s="26"/>
    </row>
    <row r="181" spans="1:42" ht="12.75" customHeight="1" x14ac:dyDescent="0.2">
      <c r="A181" s="5"/>
      <c r="B181" s="5"/>
      <c r="C181" s="5"/>
      <c r="E181" s="5"/>
      <c r="F181" s="5"/>
      <c r="N181" s="5"/>
      <c r="O181" s="5"/>
      <c r="X181" s="4"/>
      <c r="Y181" s="4"/>
      <c r="Z181" s="4"/>
      <c r="AA181" s="4"/>
      <c r="AB181" s="4"/>
      <c r="AC181" s="4"/>
      <c r="AD181" s="4"/>
      <c r="AE181" s="25"/>
      <c r="AF181" s="4"/>
      <c r="AG181" s="4"/>
      <c r="AH181" s="4"/>
      <c r="AI181" s="4"/>
      <c r="AM181" s="26"/>
      <c r="AN181" s="26"/>
      <c r="AO181" s="26"/>
      <c r="AP181" s="26"/>
    </row>
    <row r="182" spans="1:42" ht="12.75" customHeight="1" x14ac:dyDescent="0.2">
      <c r="A182" s="5"/>
      <c r="B182" s="5"/>
      <c r="C182" s="5"/>
      <c r="E182" s="5"/>
      <c r="F182" s="5"/>
      <c r="N182" s="5"/>
      <c r="O182" s="5"/>
      <c r="X182" s="4"/>
      <c r="Y182" s="4"/>
      <c r="Z182" s="4"/>
      <c r="AA182" s="4"/>
      <c r="AB182" s="4"/>
      <c r="AC182" s="4"/>
      <c r="AD182" s="4"/>
      <c r="AE182" s="25"/>
      <c r="AF182" s="4"/>
      <c r="AG182" s="4"/>
      <c r="AH182" s="4"/>
      <c r="AI182" s="4"/>
      <c r="AM182" s="26"/>
      <c r="AN182" s="26"/>
      <c r="AO182" s="26"/>
      <c r="AP182" s="26"/>
    </row>
    <row r="183" spans="1:42" ht="12.75" customHeight="1" x14ac:dyDescent="0.2">
      <c r="A183" s="5"/>
      <c r="B183" s="5"/>
      <c r="C183" s="5"/>
      <c r="E183" s="5"/>
      <c r="F183" s="5"/>
      <c r="N183" s="5"/>
      <c r="O183" s="5"/>
      <c r="X183" s="4"/>
      <c r="Y183" s="4"/>
      <c r="Z183" s="4"/>
      <c r="AA183" s="4"/>
      <c r="AB183" s="4"/>
      <c r="AC183" s="4"/>
      <c r="AD183" s="4"/>
      <c r="AE183" s="25"/>
      <c r="AF183" s="4"/>
      <c r="AG183" s="4"/>
      <c r="AH183" s="4"/>
      <c r="AI183" s="4"/>
      <c r="AM183" s="26"/>
      <c r="AN183" s="26"/>
      <c r="AO183" s="26"/>
      <c r="AP183" s="26"/>
    </row>
    <row r="184" spans="1:42" ht="12.75" customHeight="1" x14ac:dyDescent="0.2">
      <c r="A184" s="5"/>
      <c r="B184" s="5"/>
      <c r="C184" s="5"/>
      <c r="E184" s="5"/>
      <c r="F184" s="5"/>
      <c r="N184" s="5"/>
      <c r="O184" s="5"/>
      <c r="X184" s="4"/>
      <c r="Y184" s="4"/>
      <c r="Z184" s="4"/>
      <c r="AA184" s="4"/>
      <c r="AB184" s="4"/>
      <c r="AC184" s="4"/>
      <c r="AD184" s="4"/>
      <c r="AE184" s="25"/>
      <c r="AF184" s="4"/>
      <c r="AG184" s="4"/>
      <c r="AH184" s="4"/>
      <c r="AI184" s="4"/>
      <c r="AM184" s="26"/>
      <c r="AN184" s="26"/>
      <c r="AO184" s="26"/>
      <c r="AP184" s="26"/>
    </row>
    <row r="185" spans="1:42" ht="12.75" customHeight="1" x14ac:dyDescent="0.2">
      <c r="A185" s="5"/>
      <c r="B185" s="5"/>
      <c r="C185" s="5"/>
      <c r="E185" s="5"/>
      <c r="F185" s="5"/>
      <c r="N185" s="5"/>
      <c r="O185" s="5"/>
      <c r="X185" s="4"/>
      <c r="Y185" s="4"/>
      <c r="Z185" s="4"/>
      <c r="AA185" s="4"/>
      <c r="AB185" s="4"/>
      <c r="AC185" s="4"/>
      <c r="AD185" s="4"/>
      <c r="AE185" s="25"/>
      <c r="AF185" s="4"/>
      <c r="AG185" s="4"/>
      <c r="AH185" s="4"/>
      <c r="AI185" s="4"/>
      <c r="AM185" s="26"/>
      <c r="AN185" s="26"/>
      <c r="AO185" s="26"/>
      <c r="AP185" s="26"/>
    </row>
    <row r="186" spans="1:42" ht="12.75" customHeight="1" x14ac:dyDescent="0.2">
      <c r="A186" s="5"/>
      <c r="B186" s="5"/>
      <c r="C186" s="5"/>
      <c r="E186" s="5"/>
      <c r="F186" s="5"/>
      <c r="N186" s="5"/>
      <c r="O186" s="5"/>
      <c r="X186" s="4"/>
      <c r="Y186" s="4"/>
      <c r="Z186" s="4"/>
      <c r="AA186" s="4"/>
      <c r="AB186" s="4"/>
      <c r="AC186" s="4"/>
      <c r="AD186" s="4"/>
      <c r="AE186" s="25"/>
      <c r="AF186" s="4"/>
      <c r="AG186" s="4"/>
      <c r="AH186" s="4"/>
      <c r="AI186" s="4"/>
      <c r="AM186" s="26"/>
      <c r="AN186" s="26"/>
      <c r="AO186" s="26"/>
      <c r="AP186" s="26"/>
    </row>
    <row r="187" spans="1:42" ht="12.75" customHeight="1" x14ac:dyDescent="0.2">
      <c r="A187" s="5"/>
      <c r="B187" s="5"/>
      <c r="C187" s="5"/>
      <c r="E187" s="5"/>
      <c r="F187" s="5"/>
      <c r="N187" s="5"/>
      <c r="O187" s="5"/>
      <c r="X187" s="4"/>
      <c r="Y187" s="4"/>
      <c r="Z187" s="4"/>
      <c r="AA187" s="4"/>
      <c r="AB187" s="4"/>
      <c r="AC187" s="4"/>
      <c r="AD187" s="4"/>
      <c r="AE187" s="25"/>
      <c r="AF187" s="4"/>
      <c r="AG187" s="4"/>
      <c r="AH187" s="4"/>
      <c r="AI187" s="4"/>
      <c r="AM187" s="26"/>
      <c r="AN187" s="26"/>
      <c r="AO187" s="26"/>
      <c r="AP187" s="26"/>
    </row>
    <row r="188" spans="1:42" ht="12.75" customHeight="1" x14ac:dyDescent="0.2">
      <c r="A188" s="5"/>
      <c r="B188" s="5"/>
      <c r="C188" s="5"/>
      <c r="E188" s="5"/>
      <c r="F188" s="5"/>
      <c r="N188" s="5"/>
      <c r="O188" s="5"/>
      <c r="X188" s="4"/>
      <c r="Y188" s="4"/>
      <c r="Z188" s="4"/>
      <c r="AA188" s="4"/>
      <c r="AB188" s="4"/>
      <c r="AC188" s="4"/>
      <c r="AD188" s="4"/>
      <c r="AE188" s="25"/>
      <c r="AF188" s="4"/>
      <c r="AG188" s="4"/>
      <c r="AH188" s="4"/>
      <c r="AI188" s="4"/>
      <c r="AM188" s="26"/>
      <c r="AN188" s="26"/>
      <c r="AO188" s="26"/>
      <c r="AP188" s="26"/>
    </row>
    <row r="189" spans="1:42" ht="12.75" customHeight="1" x14ac:dyDescent="0.2">
      <c r="A189" s="5"/>
      <c r="B189" s="5"/>
      <c r="C189" s="5"/>
      <c r="E189" s="5"/>
      <c r="F189" s="5"/>
      <c r="N189" s="5"/>
      <c r="O189" s="5"/>
      <c r="X189" s="4"/>
      <c r="Y189" s="4"/>
      <c r="Z189" s="4"/>
      <c r="AA189" s="4"/>
      <c r="AB189" s="4"/>
      <c r="AC189" s="4"/>
      <c r="AD189" s="4"/>
      <c r="AE189" s="25"/>
      <c r="AF189" s="4"/>
      <c r="AG189" s="4"/>
      <c r="AH189" s="4"/>
      <c r="AI189" s="4"/>
      <c r="AM189" s="26"/>
      <c r="AN189" s="26"/>
      <c r="AO189" s="26"/>
      <c r="AP189" s="26"/>
    </row>
    <row r="190" spans="1:42" ht="12.75" customHeight="1" x14ac:dyDescent="0.2">
      <c r="A190" s="5"/>
      <c r="B190" s="5"/>
      <c r="C190" s="5"/>
      <c r="E190" s="5"/>
      <c r="F190" s="5"/>
      <c r="N190" s="5"/>
      <c r="O190" s="5"/>
      <c r="X190" s="4"/>
      <c r="Y190" s="4"/>
      <c r="Z190" s="4"/>
      <c r="AA190" s="4"/>
      <c r="AB190" s="4"/>
      <c r="AC190" s="4"/>
      <c r="AD190" s="4"/>
      <c r="AE190" s="25"/>
      <c r="AF190" s="4"/>
      <c r="AG190" s="4"/>
      <c r="AH190" s="4"/>
      <c r="AI190" s="4"/>
      <c r="AM190" s="26"/>
      <c r="AN190" s="26"/>
      <c r="AO190" s="26"/>
      <c r="AP190" s="26"/>
    </row>
    <row r="191" spans="1:42" ht="12.75" customHeight="1" x14ac:dyDescent="0.2">
      <c r="A191" s="5"/>
      <c r="B191" s="5"/>
      <c r="C191" s="5"/>
      <c r="E191" s="5"/>
      <c r="F191" s="5"/>
      <c r="N191" s="5"/>
      <c r="O191" s="5"/>
      <c r="X191" s="4"/>
      <c r="Y191" s="4"/>
      <c r="Z191" s="4"/>
      <c r="AA191" s="4"/>
      <c r="AB191" s="4"/>
      <c r="AC191" s="4"/>
      <c r="AD191" s="4"/>
      <c r="AE191" s="25"/>
      <c r="AF191" s="4"/>
      <c r="AG191" s="4"/>
      <c r="AH191" s="4"/>
      <c r="AI191" s="4"/>
      <c r="AM191" s="26"/>
      <c r="AN191" s="26"/>
      <c r="AO191" s="26"/>
      <c r="AP191" s="26"/>
    </row>
    <row r="192" spans="1:42" ht="12.75" customHeight="1" x14ac:dyDescent="0.2">
      <c r="A192" s="5"/>
      <c r="B192" s="5"/>
      <c r="C192" s="5"/>
      <c r="E192" s="5"/>
      <c r="F192" s="5"/>
      <c r="N192" s="5"/>
      <c r="O192" s="5"/>
      <c r="X192" s="4"/>
      <c r="Y192" s="4"/>
      <c r="Z192" s="4"/>
      <c r="AA192" s="4"/>
      <c r="AB192" s="4"/>
      <c r="AC192" s="4"/>
      <c r="AD192" s="4"/>
      <c r="AE192" s="25"/>
      <c r="AF192" s="4"/>
      <c r="AG192" s="4"/>
      <c r="AH192" s="4"/>
      <c r="AI192" s="4"/>
      <c r="AM192" s="26"/>
      <c r="AN192" s="26"/>
      <c r="AO192" s="26"/>
      <c r="AP192" s="26"/>
    </row>
    <row r="193" spans="1:42" ht="12.75" customHeight="1" x14ac:dyDescent="0.2">
      <c r="A193" s="5"/>
      <c r="B193" s="5"/>
      <c r="C193" s="5"/>
      <c r="E193" s="5"/>
      <c r="F193" s="5"/>
      <c r="N193" s="5"/>
      <c r="O193" s="5"/>
      <c r="X193" s="4"/>
      <c r="Y193" s="4"/>
      <c r="Z193" s="4"/>
      <c r="AA193" s="4"/>
      <c r="AB193" s="4"/>
      <c r="AC193" s="4"/>
      <c r="AD193" s="4"/>
      <c r="AE193" s="25"/>
      <c r="AF193" s="4"/>
      <c r="AG193" s="4"/>
      <c r="AH193" s="4"/>
      <c r="AI193" s="4"/>
      <c r="AM193" s="26"/>
      <c r="AN193" s="26"/>
      <c r="AO193" s="26"/>
      <c r="AP193" s="26"/>
    </row>
    <row r="194" spans="1:42" ht="12.75" customHeight="1" x14ac:dyDescent="0.2">
      <c r="A194" s="5"/>
      <c r="B194" s="5"/>
      <c r="C194" s="5"/>
      <c r="E194" s="5"/>
      <c r="F194" s="5"/>
      <c r="N194" s="5"/>
      <c r="O194" s="5"/>
      <c r="X194" s="4"/>
      <c r="Y194" s="4"/>
      <c r="Z194" s="4"/>
      <c r="AA194" s="4"/>
      <c r="AB194" s="4"/>
      <c r="AC194" s="4"/>
      <c r="AD194" s="4"/>
      <c r="AE194" s="25"/>
      <c r="AF194" s="4"/>
      <c r="AG194" s="4"/>
      <c r="AH194" s="4"/>
      <c r="AI194" s="4"/>
      <c r="AM194" s="26"/>
      <c r="AN194" s="26"/>
      <c r="AO194" s="26"/>
      <c r="AP194" s="26"/>
    </row>
    <row r="195" spans="1:42" ht="12.75" customHeight="1" x14ac:dyDescent="0.2">
      <c r="A195" s="5"/>
      <c r="B195" s="5"/>
      <c r="C195" s="5"/>
      <c r="E195" s="5"/>
      <c r="F195" s="5"/>
      <c r="N195" s="5"/>
      <c r="O195" s="5"/>
      <c r="X195" s="4"/>
      <c r="Y195" s="4"/>
      <c r="Z195" s="4"/>
      <c r="AA195" s="4"/>
      <c r="AB195" s="4"/>
      <c r="AC195" s="4"/>
      <c r="AD195" s="4"/>
      <c r="AE195" s="25"/>
      <c r="AF195" s="4"/>
      <c r="AG195" s="4"/>
      <c r="AH195" s="4"/>
      <c r="AI195" s="4"/>
      <c r="AM195" s="26"/>
      <c r="AN195" s="26"/>
      <c r="AO195" s="26"/>
      <c r="AP195" s="26"/>
    </row>
    <row r="196" spans="1:42" ht="12.75" customHeight="1" x14ac:dyDescent="0.2">
      <c r="A196" s="5"/>
      <c r="B196" s="5"/>
      <c r="C196" s="5"/>
      <c r="E196" s="5"/>
      <c r="F196" s="5"/>
      <c r="N196" s="5"/>
      <c r="O196" s="5"/>
      <c r="X196" s="4"/>
      <c r="Y196" s="4"/>
      <c r="Z196" s="4"/>
      <c r="AA196" s="4"/>
      <c r="AB196" s="4"/>
      <c r="AC196" s="4"/>
      <c r="AD196" s="4"/>
      <c r="AE196" s="25"/>
      <c r="AF196" s="4"/>
      <c r="AG196" s="4"/>
      <c r="AH196" s="4"/>
      <c r="AI196" s="4"/>
      <c r="AM196" s="26"/>
      <c r="AN196" s="26"/>
      <c r="AO196" s="26"/>
      <c r="AP196" s="26"/>
    </row>
    <row r="197" spans="1:42" ht="12.75" customHeight="1" x14ac:dyDescent="0.2">
      <c r="A197" s="5"/>
      <c r="B197" s="5"/>
      <c r="C197" s="5"/>
      <c r="E197" s="5"/>
      <c r="F197" s="5"/>
      <c r="N197" s="5"/>
      <c r="O197" s="5"/>
      <c r="X197" s="4"/>
      <c r="Y197" s="4"/>
      <c r="Z197" s="4"/>
      <c r="AA197" s="4"/>
      <c r="AB197" s="4"/>
      <c r="AC197" s="4"/>
      <c r="AD197" s="4"/>
      <c r="AE197" s="25"/>
      <c r="AF197" s="4"/>
      <c r="AG197" s="4"/>
      <c r="AH197" s="4"/>
      <c r="AI197" s="4"/>
      <c r="AM197" s="26"/>
      <c r="AN197" s="26"/>
      <c r="AO197" s="26"/>
      <c r="AP197" s="26"/>
    </row>
    <row r="198" spans="1:42" ht="12.75" customHeight="1" x14ac:dyDescent="0.2">
      <c r="A198" s="5"/>
      <c r="B198" s="5"/>
      <c r="C198" s="5"/>
      <c r="E198" s="5"/>
      <c r="F198" s="5"/>
      <c r="N198" s="5"/>
      <c r="O198" s="5"/>
      <c r="X198" s="4"/>
      <c r="Y198" s="4"/>
      <c r="Z198" s="4"/>
      <c r="AA198" s="4"/>
      <c r="AB198" s="4"/>
      <c r="AC198" s="4"/>
      <c r="AD198" s="4"/>
      <c r="AE198" s="25"/>
      <c r="AF198" s="4"/>
      <c r="AG198" s="4"/>
      <c r="AH198" s="4"/>
      <c r="AI198" s="4"/>
      <c r="AM198" s="26"/>
      <c r="AN198" s="26"/>
      <c r="AO198" s="26"/>
      <c r="AP198" s="26"/>
    </row>
    <row r="199" spans="1:42" ht="12.75" customHeight="1" x14ac:dyDescent="0.2">
      <c r="A199" s="5"/>
      <c r="B199" s="5"/>
      <c r="C199" s="5"/>
      <c r="E199" s="5"/>
      <c r="F199" s="5"/>
      <c r="N199" s="5"/>
      <c r="O199" s="5"/>
      <c r="X199" s="4"/>
      <c r="Y199" s="4"/>
      <c r="Z199" s="4"/>
      <c r="AA199" s="4"/>
      <c r="AB199" s="4"/>
      <c r="AC199" s="4"/>
      <c r="AD199" s="4"/>
      <c r="AE199" s="25"/>
      <c r="AF199" s="4"/>
      <c r="AG199" s="4"/>
      <c r="AH199" s="4"/>
      <c r="AI199" s="4"/>
      <c r="AM199" s="26"/>
      <c r="AN199" s="26"/>
      <c r="AO199" s="26"/>
      <c r="AP199" s="26"/>
    </row>
    <row r="200" spans="1:42" ht="12.75" customHeight="1" x14ac:dyDescent="0.2">
      <c r="A200" s="5"/>
      <c r="B200" s="5"/>
      <c r="C200" s="5"/>
      <c r="E200" s="5"/>
      <c r="F200" s="5"/>
      <c r="N200" s="5"/>
      <c r="O200" s="5"/>
      <c r="X200" s="4"/>
      <c r="Y200" s="4"/>
      <c r="Z200" s="4"/>
      <c r="AA200" s="4"/>
      <c r="AB200" s="4"/>
      <c r="AC200" s="4"/>
      <c r="AD200" s="4"/>
      <c r="AE200" s="25"/>
      <c r="AF200" s="4"/>
      <c r="AG200" s="4"/>
      <c r="AH200" s="4"/>
      <c r="AI200" s="4"/>
      <c r="AM200" s="26"/>
      <c r="AN200" s="26"/>
      <c r="AO200" s="26"/>
      <c r="AP200" s="26"/>
    </row>
    <row r="201" spans="1:42" ht="12.75" customHeight="1" x14ac:dyDescent="0.2">
      <c r="A201" s="5"/>
      <c r="B201" s="5"/>
      <c r="C201" s="5"/>
      <c r="E201" s="5"/>
      <c r="F201" s="5"/>
      <c r="N201" s="5"/>
      <c r="O201" s="5"/>
      <c r="X201" s="4"/>
      <c r="Y201" s="4"/>
      <c r="Z201" s="4"/>
      <c r="AA201" s="4"/>
      <c r="AB201" s="4"/>
      <c r="AC201" s="4"/>
      <c r="AD201" s="4"/>
      <c r="AE201" s="25"/>
      <c r="AF201" s="4"/>
      <c r="AG201" s="4"/>
      <c r="AH201" s="4"/>
      <c r="AI201" s="4"/>
      <c r="AM201" s="26"/>
      <c r="AN201" s="26"/>
      <c r="AO201" s="26"/>
      <c r="AP201" s="26"/>
    </row>
    <row r="202" spans="1:42" ht="12.75" customHeight="1" x14ac:dyDescent="0.2">
      <c r="A202" s="5"/>
      <c r="B202" s="5"/>
      <c r="C202" s="5"/>
      <c r="E202" s="5"/>
      <c r="F202" s="5"/>
      <c r="N202" s="5"/>
      <c r="O202" s="5"/>
      <c r="X202" s="4"/>
      <c r="Y202" s="4"/>
      <c r="Z202" s="4"/>
      <c r="AA202" s="4"/>
      <c r="AB202" s="4"/>
      <c r="AC202" s="4"/>
      <c r="AD202" s="4"/>
      <c r="AE202" s="25"/>
      <c r="AF202" s="4"/>
      <c r="AG202" s="4"/>
      <c r="AH202" s="4"/>
      <c r="AI202" s="4"/>
      <c r="AM202" s="26"/>
      <c r="AN202" s="26"/>
      <c r="AO202" s="26"/>
      <c r="AP202" s="26"/>
    </row>
    <row r="203" spans="1:42" ht="12.75" customHeight="1" x14ac:dyDescent="0.2">
      <c r="A203" s="5"/>
      <c r="B203" s="5"/>
      <c r="C203" s="5"/>
      <c r="E203" s="5"/>
      <c r="F203" s="5"/>
      <c r="N203" s="5"/>
      <c r="O203" s="5"/>
      <c r="X203" s="4"/>
      <c r="Y203" s="4"/>
      <c r="Z203" s="4"/>
      <c r="AA203" s="4"/>
      <c r="AB203" s="4"/>
      <c r="AC203" s="4"/>
      <c r="AD203" s="4"/>
      <c r="AE203" s="25"/>
      <c r="AF203" s="4"/>
      <c r="AG203" s="4"/>
      <c r="AH203" s="4"/>
      <c r="AI203" s="4"/>
      <c r="AM203" s="26"/>
      <c r="AN203" s="26"/>
      <c r="AO203" s="26"/>
      <c r="AP203" s="26"/>
    </row>
    <row r="204" spans="1:42" ht="12.75" customHeight="1" x14ac:dyDescent="0.2">
      <c r="A204" s="5"/>
      <c r="B204" s="5"/>
      <c r="C204" s="5"/>
      <c r="E204" s="5"/>
      <c r="F204" s="5"/>
      <c r="N204" s="5"/>
      <c r="O204" s="5"/>
      <c r="X204" s="4"/>
      <c r="Y204" s="4"/>
      <c r="Z204" s="4"/>
      <c r="AA204" s="4"/>
      <c r="AB204" s="4"/>
      <c r="AC204" s="4"/>
      <c r="AD204" s="4"/>
      <c r="AE204" s="25"/>
      <c r="AF204" s="4"/>
      <c r="AG204" s="4"/>
      <c r="AH204" s="4"/>
      <c r="AI204" s="4"/>
      <c r="AM204" s="26"/>
      <c r="AN204" s="26"/>
      <c r="AO204" s="26"/>
      <c r="AP204" s="26"/>
    </row>
    <row r="205" spans="1:42" ht="12.75" customHeight="1" x14ac:dyDescent="0.2">
      <c r="A205" s="5"/>
      <c r="B205" s="5"/>
      <c r="C205" s="5"/>
      <c r="E205" s="5"/>
      <c r="F205" s="5"/>
      <c r="N205" s="5"/>
      <c r="O205" s="5"/>
      <c r="X205" s="4"/>
      <c r="Y205" s="4"/>
      <c r="Z205" s="4"/>
      <c r="AA205" s="4"/>
      <c r="AB205" s="4"/>
      <c r="AC205" s="4"/>
      <c r="AD205" s="4"/>
      <c r="AE205" s="25"/>
      <c r="AF205" s="4"/>
      <c r="AG205" s="4"/>
      <c r="AH205" s="4"/>
      <c r="AI205" s="4"/>
      <c r="AM205" s="26"/>
      <c r="AN205" s="26"/>
      <c r="AO205" s="26"/>
      <c r="AP205" s="26"/>
    </row>
    <row r="206" spans="1:42" ht="12.75" customHeight="1" x14ac:dyDescent="0.2">
      <c r="A206" s="5"/>
      <c r="B206" s="5"/>
      <c r="C206" s="5"/>
      <c r="E206" s="5"/>
      <c r="F206" s="5"/>
      <c r="N206" s="5"/>
      <c r="O206" s="5"/>
      <c r="X206" s="4"/>
      <c r="Y206" s="4"/>
      <c r="Z206" s="4"/>
      <c r="AA206" s="4"/>
      <c r="AB206" s="4"/>
      <c r="AC206" s="4"/>
      <c r="AD206" s="4"/>
      <c r="AE206" s="25"/>
      <c r="AF206" s="4"/>
      <c r="AG206" s="4"/>
      <c r="AH206" s="4"/>
      <c r="AI206" s="4"/>
      <c r="AM206" s="26"/>
      <c r="AN206" s="26"/>
      <c r="AO206" s="26"/>
      <c r="AP206" s="26"/>
    </row>
    <row r="207" spans="1:42" ht="12.75" customHeight="1" x14ac:dyDescent="0.2">
      <c r="A207" s="5"/>
      <c r="B207" s="5"/>
      <c r="C207" s="5"/>
      <c r="E207" s="5"/>
      <c r="F207" s="5"/>
      <c r="N207" s="5"/>
      <c r="O207" s="5"/>
      <c r="X207" s="4"/>
      <c r="Y207" s="4"/>
      <c r="Z207" s="4"/>
      <c r="AA207" s="4"/>
      <c r="AB207" s="4"/>
      <c r="AC207" s="4"/>
      <c r="AD207" s="4"/>
      <c r="AE207" s="25"/>
      <c r="AF207" s="4"/>
      <c r="AG207" s="4"/>
      <c r="AH207" s="4"/>
      <c r="AI207" s="4"/>
      <c r="AM207" s="26"/>
      <c r="AN207" s="26"/>
      <c r="AO207" s="26"/>
      <c r="AP207" s="26"/>
    </row>
    <row r="208" spans="1:42" ht="12.75" customHeight="1" x14ac:dyDescent="0.2">
      <c r="A208" s="5"/>
      <c r="B208" s="5"/>
      <c r="C208" s="5"/>
      <c r="E208" s="5"/>
      <c r="F208" s="5"/>
      <c r="N208" s="5"/>
      <c r="O208" s="5"/>
      <c r="X208" s="4"/>
      <c r="Y208" s="4"/>
      <c r="Z208" s="4"/>
      <c r="AA208" s="4"/>
      <c r="AB208" s="4"/>
      <c r="AC208" s="4"/>
      <c r="AD208" s="4"/>
      <c r="AE208" s="25"/>
      <c r="AF208" s="4"/>
      <c r="AG208" s="4"/>
      <c r="AH208" s="4"/>
      <c r="AI208" s="4"/>
      <c r="AM208" s="26"/>
      <c r="AN208" s="26"/>
      <c r="AO208" s="26"/>
      <c r="AP208" s="26"/>
    </row>
    <row r="209" spans="1:42" ht="12.75" customHeight="1" x14ac:dyDescent="0.2">
      <c r="A209" s="5"/>
      <c r="B209" s="5"/>
      <c r="C209" s="5"/>
      <c r="E209" s="5"/>
      <c r="F209" s="5"/>
      <c r="N209" s="5"/>
      <c r="O209" s="5"/>
      <c r="X209" s="4"/>
      <c r="Y209" s="4"/>
      <c r="Z209" s="4"/>
      <c r="AA209" s="4"/>
      <c r="AB209" s="4"/>
      <c r="AC209" s="4"/>
      <c r="AD209" s="4"/>
      <c r="AE209" s="25"/>
      <c r="AF209" s="4"/>
      <c r="AG209" s="4"/>
      <c r="AH209" s="4"/>
      <c r="AI209" s="4"/>
      <c r="AM209" s="26"/>
      <c r="AN209" s="26"/>
      <c r="AO209" s="26"/>
      <c r="AP209" s="26"/>
    </row>
    <row r="210" spans="1:42" ht="12.75" customHeight="1" x14ac:dyDescent="0.2">
      <c r="A210" s="5"/>
      <c r="B210" s="5"/>
      <c r="C210" s="5"/>
      <c r="E210" s="5"/>
      <c r="F210" s="5"/>
      <c r="N210" s="5"/>
      <c r="O210" s="5"/>
      <c r="X210" s="4"/>
      <c r="Y210" s="4"/>
      <c r="Z210" s="4"/>
      <c r="AA210" s="4"/>
      <c r="AB210" s="4"/>
      <c r="AC210" s="4"/>
      <c r="AD210" s="4"/>
      <c r="AE210" s="25"/>
      <c r="AF210" s="4"/>
      <c r="AG210" s="4"/>
      <c r="AH210" s="4"/>
      <c r="AI210" s="4"/>
      <c r="AM210" s="26"/>
      <c r="AN210" s="26"/>
      <c r="AO210" s="26"/>
      <c r="AP210" s="26"/>
    </row>
    <row r="211" spans="1:42" ht="12.75" customHeight="1" x14ac:dyDescent="0.2">
      <c r="A211" s="5"/>
      <c r="B211" s="5"/>
      <c r="C211" s="5"/>
      <c r="E211" s="5"/>
      <c r="F211" s="5"/>
      <c r="N211" s="5"/>
      <c r="O211" s="5"/>
      <c r="X211" s="4"/>
      <c r="Y211" s="4"/>
      <c r="Z211" s="4"/>
      <c r="AA211" s="4"/>
      <c r="AB211" s="4"/>
      <c r="AC211" s="4"/>
      <c r="AD211" s="4"/>
      <c r="AE211" s="25"/>
      <c r="AF211" s="4"/>
      <c r="AG211" s="4"/>
      <c r="AH211" s="4"/>
      <c r="AI211" s="4"/>
      <c r="AM211" s="26"/>
      <c r="AN211" s="26"/>
      <c r="AO211" s="26"/>
      <c r="AP211" s="26"/>
    </row>
    <row r="212" spans="1:42" ht="12.75" customHeight="1" x14ac:dyDescent="0.2">
      <c r="A212" s="5"/>
      <c r="B212" s="5"/>
      <c r="C212" s="5"/>
      <c r="E212" s="5"/>
      <c r="F212" s="5"/>
      <c r="N212" s="5"/>
      <c r="O212" s="5"/>
      <c r="X212" s="4"/>
      <c r="Y212" s="4"/>
      <c r="Z212" s="4"/>
      <c r="AA212" s="4"/>
      <c r="AB212" s="4"/>
      <c r="AC212" s="4"/>
      <c r="AD212" s="4"/>
      <c r="AE212" s="25"/>
      <c r="AF212" s="4"/>
      <c r="AG212" s="4"/>
      <c r="AH212" s="4"/>
      <c r="AI212" s="4"/>
      <c r="AM212" s="26"/>
      <c r="AN212" s="26"/>
      <c r="AO212" s="26"/>
      <c r="AP212" s="26"/>
    </row>
    <row r="213" spans="1:42" ht="12.75" customHeight="1" x14ac:dyDescent="0.2">
      <c r="A213" s="5"/>
      <c r="B213" s="5"/>
      <c r="C213" s="5"/>
      <c r="E213" s="5"/>
      <c r="F213" s="5"/>
      <c r="N213" s="5"/>
      <c r="O213" s="5"/>
      <c r="X213" s="4"/>
      <c r="Y213" s="4"/>
      <c r="Z213" s="4"/>
      <c r="AA213" s="4"/>
      <c r="AB213" s="4"/>
      <c r="AC213" s="4"/>
      <c r="AD213" s="4"/>
      <c r="AE213" s="25"/>
      <c r="AF213" s="4"/>
      <c r="AG213" s="4"/>
      <c r="AH213" s="4"/>
      <c r="AI213" s="4"/>
      <c r="AM213" s="26"/>
      <c r="AN213" s="26"/>
      <c r="AO213" s="26"/>
      <c r="AP213" s="26"/>
    </row>
    <row r="214" spans="1:42" ht="12.75" customHeight="1" x14ac:dyDescent="0.2">
      <c r="A214" s="5"/>
      <c r="B214" s="5"/>
      <c r="C214" s="5"/>
      <c r="E214" s="5"/>
      <c r="F214" s="5"/>
      <c r="N214" s="5"/>
      <c r="O214" s="5"/>
      <c r="X214" s="4"/>
      <c r="Y214" s="4"/>
      <c r="Z214" s="4"/>
      <c r="AA214" s="4"/>
      <c r="AB214" s="4"/>
      <c r="AC214" s="4"/>
      <c r="AD214" s="4"/>
      <c r="AE214" s="25"/>
      <c r="AF214" s="4"/>
      <c r="AG214" s="4"/>
      <c r="AH214" s="4"/>
      <c r="AI214" s="4"/>
      <c r="AM214" s="26"/>
      <c r="AN214" s="26"/>
      <c r="AO214" s="26"/>
      <c r="AP214" s="26"/>
    </row>
    <row r="215" spans="1:42" ht="12.75" customHeight="1" x14ac:dyDescent="0.2">
      <c r="A215" s="5"/>
      <c r="B215" s="5"/>
      <c r="C215" s="5"/>
      <c r="E215" s="5"/>
      <c r="F215" s="5"/>
      <c r="N215" s="5"/>
      <c r="O215" s="5"/>
      <c r="X215" s="4"/>
      <c r="Y215" s="4"/>
      <c r="Z215" s="4"/>
      <c r="AA215" s="4"/>
      <c r="AB215" s="4"/>
      <c r="AC215" s="4"/>
      <c r="AD215" s="4"/>
      <c r="AE215" s="25"/>
      <c r="AF215" s="4"/>
      <c r="AG215" s="4"/>
      <c r="AH215" s="4"/>
      <c r="AI215" s="4"/>
      <c r="AM215" s="26"/>
      <c r="AN215" s="26"/>
      <c r="AO215" s="26"/>
      <c r="AP215" s="26"/>
    </row>
    <row r="216" spans="1:42" ht="12.75" customHeight="1" x14ac:dyDescent="0.2">
      <c r="A216" s="5"/>
      <c r="B216" s="5"/>
      <c r="C216" s="5"/>
      <c r="E216" s="5"/>
      <c r="F216" s="5"/>
      <c r="N216" s="5"/>
      <c r="O216" s="5"/>
      <c r="X216" s="4"/>
      <c r="Y216" s="4"/>
      <c r="Z216" s="4"/>
      <c r="AA216" s="4"/>
      <c r="AB216" s="4"/>
      <c r="AC216" s="4"/>
      <c r="AD216" s="4"/>
      <c r="AE216" s="25"/>
      <c r="AF216" s="4"/>
      <c r="AG216" s="4"/>
      <c r="AH216" s="4"/>
      <c r="AI216" s="4"/>
      <c r="AM216" s="26"/>
      <c r="AN216" s="26"/>
      <c r="AO216" s="26"/>
      <c r="AP216" s="26"/>
    </row>
    <row r="217" spans="1:42" ht="12.75" customHeight="1" x14ac:dyDescent="0.2">
      <c r="A217" s="5"/>
      <c r="B217" s="5"/>
      <c r="C217" s="5"/>
      <c r="E217" s="5"/>
      <c r="F217" s="5"/>
      <c r="N217" s="5"/>
      <c r="O217" s="5"/>
      <c r="X217" s="4"/>
      <c r="Y217" s="4"/>
      <c r="Z217" s="4"/>
      <c r="AA217" s="4"/>
      <c r="AB217" s="4"/>
      <c r="AC217" s="4"/>
      <c r="AD217" s="4"/>
      <c r="AE217" s="25"/>
      <c r="AF217" s="4"/>
      <c r="AG217" s="4"/>
      <c r="AH217" s="4"/>
      <c r="AI217" s="4"/>
      <c r="AM217" s="26"/>
      <c r="AN217" s="26"/>
      <c r="AO217" s="26"/>
      <c r="AP217" s="26"/>
    </row>
    <row r="218" spans="1:42" ht="12.75" customHeight="1" x14ac:dyDescent="0.2">
      <c r="A218" s="5"/>
      <c r="B218" s="5"/>
      <c r="C218" s="5"/>
      <c r="E218" s="5"/>
      <c r="F218" s="5"/>
      <c r="N218" s="5"/>
      <c r="O218" s="5"/>
      <c r="X218" s="4"/>
      <c r="Y218" s="4"/>
      <c r="Z218" s="4"/>
      <c r="AA218" s="4"/>
      <c r="AB218" s="4"/>
      <c r="AC218" s="4"/>
      <c r="AD218" s="4"/>
      <c r="AE218" s="25"/>
      <c r="AF218" s="4"/>
      <c r="AG218" s="4"/>
      <c r="AH218" s="4"/>
      <c r="AI218" s="4"/>
      <c r="AM218" s="26"/>
      <c r="AN218" s="26"/>
      <c r="AO218" s="26"/>
      <c r="AP218" s="26"/>
    </row>
    <row r="219" spans="1:42" ht="12.75" customHeight="1" x14ac:dyDescent="0.2">
      <c r="A219" s="5"/>
      <c r="B219" s="5"/>
      <c r="C219" s="5"/>
      <c r="E219" s="5"/>
      <c r="F219" s="5"/>
      <c r="N219" s="5"/>
      <c r="O219" s="5"/>
      <c r="X219" s="4"/>
      <c r="Y219" s="4"/>
      <c r="Z219" s="4"/>
      <c r="AA219" s="4"/>
      <c r="AB219" s="4"/>
      <c r="AC219" s="4"/>
      <c r="AD219" s="4"/>
      <c r="AE219" s="25"/>
      <c r="AF219" s="4"/>
      <c r="AG219" s="4"/>
      <c r="AH219" s="4"/>
      <c r="AI219" s="4"/>
      <c r="AM219" s="26"/>
      <c r="AN219" s="26"/>
      <c r="AO219" s="26"/>
      <c r="AP219" s="26"/>
    </row>
    <row r="220" spans="1:42" ht="12.75" customHeight="1" x14ac:dyDescent="0.2">
      <c r="A220" s="5"/>
      <c r="B220" s="5"/>
      <c r="C220" s="5"/>
      <c r="E220" s="5"/>
      <c r="F220" s="5"/>
      <c r="N220" s="5"/>
      <c r="O220" s="5"/>
      <c r="X220" s="4"/>
      <c r="Y220" s="4"/>
      <c r="Z220" s="4"/>
      <c r="AA220" s="4"/>
      <c r="AB220" s="4"/>
      <c r="AC220" s="4"/>
      <c r="AD220" s="4"/>
      <c r="AE220" s="25"/>
      <c r="AF220" s="4"/>
      <c r="AG220" s="4"/>
      <c r="AH220" s="4"/>
      <c r="AI220" s="4"/>
      <c r="AM220" s="26"/>
      <c r="AN220" s="26"/>
      <c r="AO220" s="26"/>
      <c r="AP220" s="26"/>
    </row>
    <row r="221" spans="1:42" ht="12.75" customHeight="1" x14ac:dyDescent="0.2">
      <c r="A221" s="5"/>
      <c r="B221" s="5"/>
      <c r="C221" s="5"/>
      <c r="E221" s="5"/>
      <c r="F221" s="5"/>
      <c r="N221" s="5"/>
      <c r="O221" s="5"/>
      <c r="X221" s="4"/>
      <c r="Y221" s="4"/>
      <c r="Z221" s="4"/>
      <c r="AA221" s="4"/>
      <c r="AB221" s="4"/>
      <c r="AC221" s="4"/>
      <c r="AD221" s="4"/>
      <c r="AE221" s="25"/>
      <c r="AF221" s="4"/>
      <c r="AG221" s="4"/>
      <c r="AH221" s="4"/>
      <c r="AI221" s="4"/>
      <c r="AM221" s="26"/>
      <c r="AN221" s="26"/>
      <c r="AO221" s="26"/>
      <c r="AP221" s="26"/>
    </row>
    <row r="222" spans="1:42" ht="12.75" customHeight="1" x14ac:dyDescent="0.2">
      <c r="A222" s="5"/>
      <c r="B222" s="5"/>
      <c r="C222" s="5"/>
      <c r="E222" s="5"/>
      <c r="F222" s="5"/>
      <c r="N222" s="5"/>
      <c r="O222" s="5"/>
      <c r="X222" s="4"/>
      <c r="Y222" s="4"/>
      <c r="Z222" s="4"/>
      <c r="AA222" s="4"/>
      <c r="AB222" s="4"/>
      <c r="AC222" s="4"/>
      <c r="AD222" s="4"/>
      <c r="AE222" s="25"/>
      <c r="AF222" s="4"/>
      <c r="AG222" s="4"/>
      <c r="AH222" s="4"/>
      <c r="AI222" s="4"/>
      <c r="AM222" s="26"/>
      <c r="AN222" s="26"/>
      <c r="AO222" s="26"/>
      <c r="AP222" s="26"/>
    </row>
    <row r="223" spans="1:42" ht="12.75" customHeight="1" x14ac:dyDescent="0.2">
      <c r="A223" s="5"/>
      <c r="B223" s="5"/>
      <c r="C223" s="5"/>
      <c r="E223" s="5"/>
      <c r="F223" s="5"/>
      <c r="N223" s="5"/>
      <c r="O223" s="5"/>
      <c r="X223" s="4"/>
      <c r="Y223" s="4"/>
      <c r="Z223" s="4"/>
      <c r="AA223" s="4"/>
      <c r="AB223" s="4"/>
      <c r="AC223" s="4"/>
      <c r="AD223" s="4"/>
      <c r="AE223" s="25"/>
      <c r="AF223" s="4"/>
      <c r="AG223" s="4"/>
      <c r="AH223" s="4"/>
      <c r="AI223" s="4"/>
      <c r="AM223" s="26"/>
      <c r="AN223" s="26"/>
      <c r="AO223" s="26"/>
      <c r="AP223" s="26"/>
    </row>
    <row r="224" spans="1:42" ht="12.75" customHeight="1" x14ac:dyDescent="0.2">
      <c r="A224" s="5"/>
      <c r="B224" s="5"/>
      <c r="C224" s="5"/>
      <c r="E224" s="5"/>
      <c r="F224" s="5"/>
      <c r="N224" s="5"/>
      <c r="O224" s="5"/>
      <c r="X224" s="4"/>
      <c r="Y224" s="4"/>
      <c r="Z224" s="4"/>
      <c r="AA224" s="4"/>
      <c r="AB224" s="4"/>
      <c r="AC224" s="4"/>
      <c r="AD224" s="4"/>
      <c r="AE224" s="25"/>
      <c r="AF224" s="4"/>
      <c r="AG224" s="4"/>
      <c r="AH224" s="4"/>
      <c r="AI224" s="4"/>
      <c r="AM224" s="26"/>
      <c r="AN224" s="26"/>
      <c r="AO224" s="26"/>
      <c r="AP224" s="26"/>
    </row>
    <row r="225" spans="1:42" ht="12.75" customHeight="1" x14ac:dyDescent="0.2">
      <c r="A225" s="5"/>
      <c r="B225" s="5"/>
      <c r="C225" s="5"/>
      <c r="E225" s="5"/>
      <c r="F225" s="5"/>
      <c r="N225" s="5"/>
      <c r="O225" s="5"/>
      <c r="X225" s="4"/>
      <c r="Y225" s="4"/>
      <c r="Z225" s="4"/>
      <c r="AA225" s="4"/>
      <c r="AB225" s="4"/>
      <c r="AC225" s="4"/>
      <c r="AD225" s="4"/>
      <c r="AE225" s="25"/>
      <c r="AF225" s="4"/>
      <c r="AG225" s="4"/>
      <c r="AH225" s="4"/>
      <c r="AI225" s="4"/>
      <c r="AM225" s="26"/>
      <c r="AN225" s="26"/>
      <c r="AO225" s="26"/>
      <c r="AP225" s="26"/>
    </row>
    <row r="226" spans="1:42" ht="12.75" customHeight="1" x14ac:dyDescent="0.2">
      <c r="A226" s="5"/>
      <c r="B226" s="5"/>
      <c r="C226" s="5"/>
      <c r="E226" s="5"/>
      <c r="F226" s="5"/>
      <c r="N226" s="5"/>
      <c r="O226" s="5"/>
      <c r="X226" s="4"/>
      <c r="Y226" s="4"/>
      <c r="Z226" s="4"/>
      <c r="AA226" s="4"/>
      <c r="AB226" s="4"/>
      <c r="AC226" s="4"/>
      <c r="AD226" s="4"/>
      <c r="AE226" s="25"/>
      <c r="AF226" s="4"/>
      <c r="AG226" s="4"/>
      <c r="AH226" s="4"/>
      <c r="AI226" s="4"/>
      <c r="AM226" s="26"/>
      <c r="AN226" s="26"/>
      <c r="AO226" s="26"/>
      <c r="AP226" s="26"/>
    </row>
    <row r="227" spans="1:42" ht="12.75" customHeight="1" x14ac:dyDescent="0.2">
      <c r="A227" s="5"/>
      <c r="B227" s="5"/>
      <c r="C227" s="5"/>
      <c r="E227" s="5"/>
      <c r="F227" s="5"/>
      <c r="N227" s="5"/>
      <c r="O227" s="5"/>
      <c r="X227" s="4"/>
      <c r="Y227" s="4"/>
      <c r="Z227" s="4"/>
      <c r="AA227" s="4"/>
      <c r="AB227" s="4"/>
      <c r="AC227" s="4"/>
      <c r="AD227" s="4"/>
      <c r="AE227" s="25"/>
      <c r="AF227" s="4"/>
      <c r="AG227" s="4"/>
      <c r="AH227" s="4"/>
      <c r="AI227" s="4"/>
      <c r="AM227" s="26"/>
      <c r="AN227" s="26"/>
      <c r="AO227" s="26"/>
      <c r="AP227" s="26"/>
    </row>
    <row r="228" spans="1:42" ht="12.75" customHeight="1" x14ac:dyDescent="0.2">
      <c r="A228" s="5"/>
      <c r="B228" s="5"/>
      <c r="C228" s="5"/>
      <c r="E228" s="5"/>
      <c r="F228" s="5"/>
      <c r="N228" s="5"/>
      <c r="O228" s="5"/>
      <c r="X228" s="4"/>
      <c r="Y228" s="4"/>
      <c r="Z228" s="4"/>
      <c r="AA228" s="4"/>
      <c r="AB228" s="4"/>
      <c r="AC228" s="4"/>
      <c r="AD228" s="4"/>
      <c r="AE228" s="25"/>
      <c r="AF228" s="4"/>
      <c r="AG228" s="4"/>
      <c r="AH228" s="4"/>
      <c r="AI228" s="4"/>
      <c r="AM228" s="26"/>
      <c r="AN228" s="26"/>
      <c r="AO228" s="26"/>
      <c r="AP228" s="26"/>
    </row>
    <row r="229" spans="1:42" ht="12.75" customHeight="1" x14ac:dyDescent="0.2">
      <c r="A229" s="5"/>
      <c r="B229" s="5"/>
      <c r="C229" s="5"/>
      <c r="E229" s="5"/>
      <c r="F229" s="5"/>
      <c r="N229" s="5"/>
      <c r="O229" s="5"/>
      <c r="X229" s="4"/>
      <c r="Y229" s="4"/>
      <c r="Z229" s="4"/>
      <c r="AA229" s="4"/>
      <c r="AB229" s="4"/>
      <c r="AC229" s="4"/>
      <c r="AD229" s="4"/>
      <c r="AE229" s="25"/>
      <c r="AF229" s="4"/>
      <c r="AG229" s="4"/>
      <c r="AH229" s="4"/>
      <c r="AI229" s="4"/>
      <c r="AM229" s="26"/>
      <c r="AN229" s="26"/>
      <c r="AO229" s="26"/>
      <c r="AP229" s="26"/>
    </row>
    <row r="230" spans="1:42" ht="12.75" customHeight="1" x14ac:dyDescent="0.2">
      <c r="A230" s="5"/>
      <c r="B230" s="5"/>
      <c r="C230" s="5"/>
      <c r="E230" s="5"/>
      <c r="F230" s="5"/>
      <c r="N230" s="5"/>
      <c r="O230" s="5"/>
      <c r="X230" s="4"/>
      <c r="Y230" s="4"/>
      <c r="Z230" s="4"/>
      <c r="AA230" s="4"/>
      <c r="AB230" s="4"/>
      <c r="AC230" s="4"/>
      <c r="AD230" s="4"/>
      <c r="AE230" s="25"/>
      <c r="AF230" s="4"/>
      <c r="AG230" s="4"/>
      <c r="AH230" s="4"/>
      <c r="AI230" s="4"/>
      <c r="AM230" s="26"/>
      <c r="AN230" s="26"/>
      <c r="AO230" s="26"/>
      <c r="AP230" s="26"/>
    </row>
    <row r="231" spans="1:42" ht="12.75" customHeight="1" x14ac:dyDescent="0.2">
      <c r="A231" s="5"/>
      <c r="B231" s="5"/>
      <c r="C231" s="5"/>
      <c r="E231" s="5"/>
      <c r="F231" s="5"/>
      <c r="N231" s="5"/>
      <c r="O231" s="5"/>
      <c r="X231" s="4"/>
      <c r="Y231" s="4"/>
      <c r="Z231" s="4"/>
      <c r="AA231" s="4"/>
      <c r="AB231" s="4"/>
      <c r="AC231" s="4"/>
      <c r="AD231" s="4"/>
      <c r="AE231" s="25"/>
      <c r="AF231" s="4"/>
      <c r="AG231" s="4"/>
      <c r="AH231" s="4"/>
      <c r="AI231" s="4"/>
      <c r="AM231" s="26"/>
      <c r="AN231" s="26"/>
      <c r="AO231" s="26"/>
      <c r="AP231" s="26"/>
    </row>
    <row r="232" spans="1:42" ht="12.75" customHeight="1" x14ac:dyDescent="0.2">
      <c r="A232" s="5"/>
      <c r="B232" s="5"/>
      <c r="C232" s="5"/>
      <c r="E232" s="5"/>
      <c r="F232" s="5"/>
      <c r="N232" s="5"/>
      <c r="O232" s="5"/>
      <c r="X232" s="4"/>
      <c r="Y232" s="4"/>
      <c r="Z232" s="4"/>
      <c r="AA232" s="4"/>
      <c r="AB232" s="4"/>
      <c r="AC232" s="4"/>
      <c r="AD232" s="4"/>
      <c r="AE232" s="25"/>
      <c r="AF232" s="4"/>
      <c r="AG232" s="4"/>
      <c r="AH232" s="4"/>
      <c r="AI232" s="4"/>
      <c r="AM232" s="26"/>
      <c r="AN232" s="26"/>
      <c r="AO232" s="26"/>
      <c r="AP232" s="26"/>
    </row>
    <row r="233" spans="1:42" ht="12.75" customHeight="1" x14ac:dyDescent="0.2">
      <c r="A233" s="5"/>
      <c r="B233" s="5"/>
      <c r="C233" s="5"/>
      <c r="E233" s="5"/>
      <c r="F233" s="5"/>
      <c r="N233" s="5"/>
      <c r="O233" s="5"/>
      <c r="X233" s="4"/>
      <c r="Y233" s="4"/>
      <c r="Z233" s="4"/>
      <c r="AA233" s="4"/>
      <c r="AB233" s="4"/>
      <c r="AC233" s="4"/>
      <c r="AD233" s="4"/>
      <c r="AE233" s="25"/>
      <c r="AF233" s="4"/>
      <c r="AG233" s="4"/>
      <c r="AH233" s="4"/>
      <c r="AI233" s="4"/>
      <c r="AM233" s="26"/>
      <c r="AN233" s="26"/>
      <c r="AO233" s="26"/>
      <c r="AP233" s="26"/>
    </row>
    <row r="234" spans="1:42" ht="12.75" customHeight="1" x14ac:dyDescent="0.2">
      <c r="A234" s="5"/>
      <c r="B234" s="5"/>
      <c r="C234" s="5"/>
      <c r="E234" s="5"/>
      <c r="F234" s="5"/>
      <c r="N234" s="5"/>
      <c r="O234" s="5"/>
      <c r="X234" s="4"/>
      <c r="Y234" s="4"/>
      <c r="Z234" s="4"/>
      <c r="AA234" s="4"/>
      <c r="AB234" s="4"/>
      <c r="AC234" s="4"/>
      <c r="AD234" s="4"/>
      <c r="AE234" s="25"/>
      <c r="AF234" s="4"/>
      <c r="AG234" s="4"/>
      <c r="AH234" s="4"/>
      <c r="AI234" s="4"/>
      <c r="AM234" s="26"/>
      <c r="AN234" s="26"/>
      <c r="AO234" s="26"/>
      <c r="AP234" s="26"/>
    </row>
    <row r="235" spans="1:42" ht="12.75" customHeight="1" x14ac:dyDescent="0.2">
      <c r="A235" s="5"/>
      <c r="B235" s="5"/>
      <c r="C235" s="5"/>
      <c r="E235" s="5"/>
      <c r="F235" s="5"/>
      <c r="N235" s="5"/>
      <c r="O235" s="5"/>
      <c r="X235" s="4"/>
      <c r="Y235" s="4"/>
      <c r="Z235" s="4"/>
      <c r="AA235" s="4"/>
      <c r="AB235" s="4"/>
      <c r="AC235" s="4"/>
      <c r="AD235" s="4"/>
      <c r="AE235" s="25"/>
      <c r="AF235" s="4"/>
      <c r="AG235" s="4"/>
      <c r="AH235" s="4"/>
      <c r="AI235" s="4"/>
      <c r="AM235" s="26"/>
      <c r="AN235" s="26"/>
      <c r="AO235" s="26"/>
      <c r="AP235" s="26"/>
    </row>
    <row r="236" spans="1:42" ht="12.75" customHeight="1" x14ac:dyDescent="0.2">
      <c r="A236" s="5"/>
      <c r="B236" s="5"/>
      <c r="C236" s="5"/>
      <c r="E236" s="5"/>
      <c r="F236" s="5"/>
      <c r="N236" s="5"/>
      <c r="O236" s="5"/>
      <c r="X236" s="4"/>
      <c r="Y236" s="4"/>
      <c r="Z236" s="4"/>
      <c r="AA236" s="4"/>
      <c r="AB236" s="4"/>
      <c r="AC236" s="4"/>
      <c r="AD236" s="4"/>
      <c r="AE236" s="25"/>
      <c r="AF236" s="4"/>
      <c r="AG236" s="4"/>
      <c r="AH236" s="4"/>
      <c r="AI236" s="4"/>
      <c r="AM236" s="26"/>
      <c r="AN236" s="26"/>
      <c r="AO236" s="26"/>
      <c r="AP236" s="26"/>
    </row>
    <row r="237" spans="1:42" ht="12.75" customHeight="1" x14ac:dyDescent="0.2">
      <c r="A237" s="5"/>
      <c r="B237" s="5"/>
      <c r="C237" s="5"/>
      <c r="E237" s="5"/>
      <c r="F237" s="5"/>
      <c r="N237" s="5"/>
      <c r="O237" s="5"/>
      <c r="X237" s="4"/>
      <c r="Y237" s="4"/>
      <c r="Z237" s="4"/>
      <c r="AA237" s="4"/>
      <c r="AB237" s="4"/>
      <c r="AC237" s="4"/>
      <c r="AD237" s="4"/>
      <c r="AE237" s="25"/>
      <c r="AF237" s="4"/>
      <c r="AG237" s="4"/>
      <c r="AH237" s="4"/>
      <c r="AI237" s="4"/>
      <c r="AM237" s="26"/>
      <c r="AN237" s="26"/>
      <c r="AO237" s="26"/>
      <c r="AP237" s="26"/>
    </row>
    <row r="238" spans="1:42" ht="12.75" customHeight="1" x14ac:dyDescent="0.2">
      <c r="A238" s="5"/>
      <c r="B238" s="5"/>
      <c r="C238" s="5"/>
      <c r="E238" s="5"/>
      <c r="F238" s="5"/>
      <c r="N238" s="5"/>
      <c r="O238" s="5"/>
      <c r="X238" s="4"/>
      <c r="Y238" s="4"/>
      <c r="Z238" s="4"/>
      <c r="AA238" s="4"/>
      <c r="AB238" s="4"/>
      <c r="AC238" s="4"/>
      <c r="AD238" s="4"/>
      <c r="AE238" s="25"/>
      <c r="AF238" s="4"/>
      <c r="AG238" s="4"/>
      <c r="AH238" s="4"/>
      <c r="AI238" s="4"/>
      <c r="AM238" s="26"/>
      <c r="AN238" s="26"/>
      <c r="AO238" s="26"/>
      <c r="AP238" s="26"/>
    </row>
    <row r="239" spans="1:42" ht="12.75" customHeight="1" x14ac:dyDescent="0.2">
      <c r="A239" s="5"/>
      <c r="B239" s="5"/>
      <c r="C239" s="5"/>
      <c r="E239" s="5"/>
      <c r="F239" s="5"/>
      <c r="N239" s="5"/>
      <c r="O239" s="5"/>
      <c r="X239" s="4"/>
      <c r="Y239" s="4"/>
      <c r="Z239" s="4"/>
      <c r="AA239" s="4"/>
      <c r="AB239" s="4"/>
      <c r="AC239" s="4"/>
      <c r="AD239" s="4"/>
      <c r="AE239" s="25"/>
      <c r="AF239" s="4"/>
      <c r="AG239" s="4"/>
      <c r="AH239" s="4"/>
      <c r="AI239" s="4"/>
      <c r="AM239" s="26"/>
      <c r="AN239" s="26"/>
      <c r="AO239" s="26"/>
      <c r="AP239" s="26"/>
    </row>
    <row r="240" spans="1:42" ht="12.75" customHeight="1" x14ac:dyDescent="0.2">
      <c r="A240" s="5"/>
      <c r="B240" s="5"/>
      <c r="C240" s="5"/>
      <c r="E240" s="5"/>
      <c r="F240" s="5"/>
      <c r="N240" s="5"/>
      <c r="O240" s="5"/>
      <c r="X240" s="4"/>
      <c r="Y240" s="4"/>
      <c r="Z240" s="4"/>
      <c r="AA240" s="4"/>
      <c r="AB240" s="4"/>
      <c r="AC240" s="4"/>
      <c r="AD240" s="4"/>
      <c r="AE240" s="25"/>
      <c r="AF240" s="4"/>
      <c r="AG240" s="4"/>
      <c r="AH240" s="4"/>
      <c r="AI240" s="4"/>
      <c r="AM240" s="26"/>
      <c r="AN240" s="26"/>
      <c r="AO240" s="26"/>
      <c r="AP240" s="26"/>
    </row>
    <row r="241" spans="1:42" ht="12.75" customHeight="1" x14ac:dyDescent="0.2">
      <c r="A241" s="5"/>
      <c r="B241" s="5"/>
      <c r="C241" s="5"/>
      <c r="E241" s="5"/>
      <c r="F241" s="5"/>
      <c r="N241" s="5"/>
      <c r="O241" s="5"/>
      <c r="X241" s="4"/>
      <c r="Y241" s="4"/>
      <c r="Z241" s="4"/>
      <c r="AA241" s="4"/>
      <c r="AB241" s="4"/>
      <c r="AC241" s="4"/>
      <c r="AD241" s="4"/>
      <c r="AE241" s="25"/>
      <c r="AF241" s="4"/>
      <c r="AG241" s="4"/>
      <c r="AH241" s="4"/>
      <c r="AI241" s="4"/>
      <c r="AM241" s="26"/>
      <c r="AN241" s="26"/>
      <c r="AO241" s="26"/>
      <c r="AP241" s="26"/>
    </row>
    <row r="242" spans="1:42" ht="12.75" customHeight="1" x14ac:dyDescent="0.2">
      <c r="A242" s="5"/>
      <c r="B242" s="5"/>
      <c r="C242" s="5"/>
      <c r="E242" s="5"/>
      <c r="F242" s="5"/>
      <c r="N242" s="5"/>
      <c r="O242" s="5"/>
      <c r="X242" s="4"/>
      <c r="Y242" s="4"/>
      <c r="Z242" s="4"/>
      <c r="AA242" s="4"/>
      <c r="AB242" s="4"/>
      <c r="AC242" s="4"/>
      <c r="AD242" s="4"/>
      <c r="AE242" s="25"/>
      <c r="AF242" s="4"/>
      <c r="AG242" s="4"/>
      <c r="AH242" s="4"/>
      <c r="AI242" s="4"/>
      <c r="AM242" s="26"/>
      <c r="AN242" s="26"/>
      <c r="AO242" s="26"/>
      <c r="AP242" s="26"/>
    </row>
    <row r="243" spans="1:42" ht="12.75" customHeight="1" x14ac:dyDescent="0.2">
      <c r="A243" s="5"/>
      <c r="B243" s="5"/>
      <c r="C243" s="5"/>
      <c r="E243" s="5"/>
      <c r="F243" s="5"/>
      <c r="N243" s="5"/>
      <c r="O243" s="5"/>
      <c r="X243" s="4"/>
      <c r="Y243" s="4"/>
      <c r="Z243" s="4"/>
      <c r="AA243" s="4"/>
      <c r="AB243" s="4"/>
      <c r="AC243" s="4"/>
      <c r="AD243" s="4"/>
      <c r="AE243" s="25"/>
      <c r="AF243" s="4"/>
      <c r="AG243" s="4"/>
      <c r="AH243" s="4"/>
      <c r="AI243" s="4"/>
      <c r="AM243" s="26"/>
      <c r="AN243" s="26"/>
      <c r="AO243" s="26"/>
      <c r="AP243" s="26"/>
    </row>
    <row r="244" spans="1:42" ht="12.75" customHeight="1" x14ac:dyDescent="0.2">
      <c r="A244" s="5"/>
      <c r="B244" s="5"/>
      <c r="C244" s="5"/>
      <c r="E244" s="5"/>
      <c r="F244" s="5"/>
      <c r="N244" s="5"/>
      <c r="O244" s="5"/>
      <c r="X244" s="4"/>
      <c r="Y244" s="4"/>
      <c r="Z244" s="4"/>
      <c r="AA244" s="4"/>
      <c r="AB244" s="4"/>
      <c r="AC244" s="4"/>
      <c r="AD244" s="4"/>
      <c r="AE244" s="25"/>
      <c r="AF244" s="4"/>
      <c r="AG244" s="4"/>
      <c r="AH244" s="4"/>
      <c r="AI244" s="4"/>
      <c r="AM244" s="26"/>
      <c r="AN244" s="26"/>
      <c r="AO244" s="26"/>
      <c r="AP244" s="26"/>
    </row>
    <row r="245" spans="1:42" ht="12.75" customHeight="1" x14ac:dyDescent="0.2">
      <c r="A245" s="5"/>
      <c r="B245" s="5"/>
      <c r="C245" s="5"/>
      <c r="E245" s="5"/>
      <c r="F245" s="5"/>
      <c r="N245" s="5"/>
      <c r="O245" s="5"/>
      <c r="X245" s="4"/>
      <c r="Y245" s="4"/>
      <c r="Z245" s="4"/>
      <c r="AA245" s="4"/>
      <c r="AB245" s="4"/>
      <c r="AC245" s="4"/>
      <c r="AD245" s="4"/>
      <c r="AE245" s="25"/>
      <c r="AF245" s="4"/>
      <c r="AG245" s="4"/>
      <c r="AH245" s="4"/>
      <c r="AI245" s="4"/>
      <c r="AM245" s="26"/>
      <c r="AN245" s="26"/>
      <c r="AO245" s="26"/>
      <c r="AP245" s="26"/>
    </row>
    <row r="246" spans="1:42" ht="12.75" customHeight="1" x14ac:dyDescent="0.2">
      <c r="A246" s="5"/>
      <c r="B246" s="5"/>
      <c r="C246" s="5"/>
      <c r="E246" s="5"/>
      <c r="F246" s="5"/>
      <c r="N246" s="5"/>
      <c r="O246" s="5"/>
      <c r="X246" s="4"/>
      <c r="Y246" s="4"/>
      <c r="Z246" s="4"/>
      <c r="AA246" s="4"/>
      <c r="AB246" s="4"/>
      <c r="AC246" s="4"/>
      <c r="AD246" s="4"/>
      <c r="AE246" s="25"/>
      <c r="AF246" s="4"/>
      <c r="AG246" s="4"/>
      <c r="AH246" s="4"/>
      <c r="AI246" s="4"/>
      <c r="AM246" s="26"/>
      <c r="AN246" s="26"/>
      <c r="AO246" s="26"/>
      <c r="AP246" s="26"/>
    </row>
    <row r="247" spans="1:42" ht="12.75" customHeight="1" x14ac:dyDescent="0.2">
      <c r="A247" s="5"/>
      <c r="B247" s="5"/>
      <c r="C247" s="5"/>
      <c r="E247" s="5"/>
      <c r="F247" s="5"/>
      <c r="N247" s="5"/>
      <c r="O247" s="5"/>
      <c r="X247" s="4"/>
      <c r="Y247" s="4"/>
      <c r="Z247" s="4"/>
      <c r="AA247" s="4"/>
      <c r="AB247" s="4"/>
      <c r="AC247" s="4"/>
      <c r="AD247" s="4"/>
      <c r="AE247" s="25"/>
      <c r="AF247" s="4"/>
      <c r="AG247" s="4"/>
      <c r="AH247" s="4"/>
      <c r="AI247" s="4"/>
      <c r="AM247" s="26"/>
      <c r="AN247" s="26"/>
      <c r="AO247" s="26"/>
      <c r="AP247" s="26"/>
    </row>
    <row r="248" spans="1:42" ht="12.75" customHeight="1" x14ac:dyDescent="0.2">
      <c r="A248" s="5"/>
      <c r="B248" s="5"/>
      <c r="C248" s="5"/>
      <c r="E248" s="5"/>
      <c r="F248" s="5"/>
      <c r="N248" s="5"/>
      <c r="O248" s="5"/>
      <c r="X248" s="4"/>
      <c r="Y248" s="4"/>
      <c r="Z248" s="4"/>
      <c r="AA248" s="4"/>
      <c r="AB248" s="4"/>
      <c r="AC248" s="4"/>
      <c r="AD248" s="4"/>
      <c r="AE248" s="25"/>
      <c r="AF248" s="4"/>
      <c r="AG248" s="4"/>
      <c r="AH248" s="4"/>
      <c r="AI248" s="4"/>
      <c r="AM248" s="26"/>
      <c r="AN248" s="26"/>
      <c r="AO248" s="26"/>
      <c r="AP248" s="26"/>
    </row>
    <row r="249" spans="1:42" ht="12.75" customHeight="1" x14ac:dyDescent="0.2">
      <c r="A249" s="5"/>
      <c r="B249" s="5"/>
      <c r="C249" s="5"/>
      <c r="E249" s="5"/>
      <c r="F249" s="5"/>
      <c r="N249" s="5"/>
      <c r="O249" s="5"/>
      <c r="X249" s="4"/>
      <c r="Y249" s="4"/>
      <c r="Z249" s="4"/>
      <c r="AA249" s="4"/>
      <c r="AB249" s="4"/>
      <c r="AC249" s="4"/>
      <c r="AD249" s="4"/>
      <c r="AE249" s="25"/>
      <c r="AF249" s="4"/>
      <c r="AG249" s="4"/>
      <c r="AH249" s="4"/>
      <c r="AI249" s="4"/>
      <c r="AM249" s="26"/>
      <c r="AN249" s="26"/>
      <c r="AO249" s="26"/>
      <c r="AP249" s="26"/>
    </row>
    <row r="250" spans="1:42" ht="12.75" customHeight="1" x14ac:dyDescent="0.2">
      <c r="A250" s="5"/>
      <c r="B250" s="5"/>
      <c r="C250" s="5"/>
      <c r="E250" s="5"/>
      <c r="F250" s="5"/>
      <c r="N250" s="5"/>
      <c r="O250" s="5"/>
      <c r="X250" s="4"/>
      <c r="Y250" s="4"/>
      <c r="Z250" s="4"/>
      <c r="AA250" s="4"/>
      <c r="AB250" s="4"/>
      <c r="AC250" s="4"/>
      <c r="AD250" s="4"/>
      <c r="AE250" s="25"/>
      <c r="AF250" s="4"/>
      <c r="AG250" s="4"/>
      <c r="AH250" s="4"/>
      <c r="AI250" s="4"/>
      <c r="AM250" s="26"/>
      <c r="AN250" s="26"/>
      <c r="AO250" s="26"/>
      <c r="AP250" s="26"/>
    </row>
    <row r="251" spans="1:42" ht="12.75" customHeight="1" x14ac:dyDescent="0.2">
      <c r="A251" s="5"/>
      <c r="B251" s="5"/>
      <c r="C251" s="5"/>
      <c r="E251" s="5"/>
      <c r="F251" s="5"/>
      <c r="N251" s="5"/>
      <c r="O251" s="5"/>
      <c r="X251" s="4"/>
      <c r="Y251" s="4"/>
      <c r="Z251" s="4"/>
      <c r="AA251" s="4"/>
      <c r="AB251" s="4"/>
      <c r="AC251" s="4"/>
      <c r="AD251" s="4"/>
      <c r="AE251" s="25"/>
      <c r="AF251" s="4"/>
      <c r="AG251" s="4"/>
      <c r="AH251" s="4"/>
      <c r="AI251" s="4"/>
      <c r="AM251" s="26"/>
      <c r="AN251" s="26"/>
      <c r="AO251" s="26"/>
      <c r="AP251" s="26"/>
    </row>
    <row r="252" spans="1:42" ht="12.75" customHeight="1" x14ac:dyDescent="0.2">
      <c r="A252" s="5"/>
      <c r="B252" s="5"/>
      <c r="C252" s="5"/>
      <c r="E252" s="5"/>
      <c r="F252" s="5"/>
      <c r="N252" s="5"/>
      <c r="O252" s="5"/>
      <c r="X252" s="4"/>
      <c r="Y252" s="4"/>
      <c r="Z252" s="4"/>
      <c r="AA252" s="4"/>
      <c r="AB252" s="4"/>
      <c r="AC252" s="4"/>
      <c r="AD252" s="4"/>
      <c r="AE252" s="25"/>
      <c r="AF252" s="4"/>
      <c r="AG252" s="4"/>
      <c r="AH252" s="4"/>
      <c r="AI252" s="4"/>
      <c r="AM252" s="26"/>
      <c r="AN252" s="26"/>
      <c r="AO252" s="26"/>
      <c r="AP252" s="26"/>
    </row>
    <row r="253" spans="1:42" ht="12.75" customHeight="1" x14ac:dyDescent="0.2">
      <c r="A253" s="5"/>
      <c r="B253" s="5"/>
      <c r="C253" s="5"/>
      <c r="E253" s="5"/>
      <c r="F253" s="5"/>
      <c r="N253" s="5"/>
      <c r="O253" s="5"/>
      <c r="X253" s="4"/>
      <c r="Y253" s="4"/>
      <c r="Z253" s="4"/>
      <c r="AA253" s="4"/>
      <c r="AB253" s="4"/>
      <c r="AC253" s="4"/>
      <c r="AD253" s="4"/>
      <c r="AE253" s="25"/>
      <c r="AF253" s="4"/>
      <c r="AG253" s="4"/>
      <c r="AH253" s="4"/>
      <c r="AI253" s="4"/>
      <c r="AM253" s="26"/>
      <c r="AN253" s="26"/>
      <c r="AO253" s="26"/>
      <c r="AP253" s="26"/>
    </row>
    <row r="254" spans="1:42" ht="12.75" customHeight="1" x14ac:dyDescent="0.2">
      <c r="A254" s="5"/>
      <c r="B254" s="5"/>
      <c r="C254" s="5"/>
      <c r="E254" s="5"/>
      <c r="F254" s="5"/>
      <c r="N254" s="5"/>
      <c r="O254" s="5"/>
      <c r="X254" s="4"/>
      <c r="Y254" s="4"/>
      <c r="Z254" s="4"/>
      <c r="AA254" s="4"/>
      <c r="AB254" s="4"/>
      <c r="AC254" s="4"/>
      <c r="AD254" s="4"/>
      <c r="AE254" s="25"/>
      <c r="AF254" s="4"/>
      <c r="AG254" s="4"/>
      <c r="AH254" s="4"/>
      <c r="AI254" s="4"/>
      <c r="AM254" s="26"/>
      <c r="AN254" s="26"/>
      <c r="AO254" s="26"/>
      <c r="AP254" s="26"/>
    </row>
    <row r="255" spans="1:42" ht="12.75" customHeight="1" x14ac:dyDescent="0.2">
      <c r="A255" s="5"/>
      <c r="B255" s="5"/>
      <c r="C255" s="5"/>
      <c r="E255" s="5"/>
      <c r="F255" s="5"/>
      <c r="N255" s="5"/>
      <c r="O255" s="5"/>
      <c r="X255" s="4"/>
      <c r="Y255" s="4"/>
      <c r="Z255" s="4"/>
      <c r="AA255" s="4"/>
      <c r="AB255" s="4"/>
      <c r="AC255" s="4"/>
      <c r="AD255" s="4"/>
      <c r="AE255" s="25"/>
      <c r="AF255" s="4"/>
      <c r="AG255" s="4"/>
      <c r="AH255" s="4"/>
      <c r="AI255" s="4"/>
      <c r="AM255" s="26"/>
      <c r="AN255" s="26"/>
      <c r="AO255" s="26"/>
      <c r="AP255" s="26"/>
    </row>
    <row r="256" spans="1:42" ht="12.75" customHeight="1" x14ac:dyDescent="0.2">
      <c r="A256" s="5"/>
      <c r="B256" s="5"/>
      <c r="C256" s="5"/>
      <c r="E256" s="5"/>
      <c r="F256" s="5"/>
      <c r="N256" s="5"/>
      <c r="O256" s="5"/>
      <c r="X256" s="4"/>
      <c r="Y256" s="4"/>
      <c r="Z256" s="4"/>
      <c r="AA256" s="4"/>
      <c r="AB256" s="4"/>
      <c r="AC256" s="4"/>
      <c r="AD256" s="4"/>
      <c r="AE256" s="25"/>
      <c r="AF256" s="4"/>
      <c r="AG256" s="4"/>
      <c r="AH256" s="4"/>
      <c r="AI256" s="4"/>
      <c r="AM256" s="26"/>
      <c r="AN256" s="26"/>
      <c r="AO256" s="26"/>
      <c r="AP256" s="26"/>
    </row>
    <row r="257" spans="1:42" ht="12.75" customHeight="1" x14ac:dyDescent="0.2">
      <c r="A257" s="5"/>
      <c r="B257" s="5"/>
      <c r="C257" s="5"/>
      <c r="E257" s="5"/>
      <c r="F257" s="5"/>
      <c r="N257" s="5"/>
      <c r="O257" s="5"/>
      <c r="X257" s="4"/>
      <c r="Y257" s="4"/>
      <c r="Z257" s="4"/>
      <c r="AA257" s="4"/>
      <c r="AB257" s="4"/>
      <c r="AC257" s="4"/>
      <c r="AD257" s="4"/>
      <c r="AE257" s="25"/>
      <c r="AF257" s="4"/>
      <c r="AG257" s="4"/>
      <c r="AH257" s="4"/>
      <c r="AI257" s="4"/>
      <c r="AM257" s="26"/>
      <c r="AN257" s="26"/>
      <c r="AO257" s="26"/>
      <c r="AP257" s="26"/>
    </row>
    <row r="258" spans="1:42" ht="12.75" customHeight="1" x14ac:dyDescent="0.2">
      <c r="A258" s="5"/>
      <c r="B258" s="5"/>
      <c r="C258" s="5"/>
      <c r="E258" s="5"/>
      <c r="F258" s="5"/>
      <c r="N258" s="5"/>
      <c r="O258" s="5"/>
      <c r="X258" s="4"/>
      <c r="Y258" s="4"/>
      <c r="Z258" s="4"/>
      <c r="AA258" s="4"/>
      <c r="AB258" s="4"/>
      <c r="AC258" s="4"/>
      <c r="AD258" s="4"/>
      <c r="AE258" s="25"/>
      <c r="AF258" s="4"/>
      <c r="AG258" s="4"/>
      <c r="AH258" s="4"/>
      <c r="AI258" s="4"/>
      <c r="AM258" s="26"/>
      <c r="AN258" s="26"/>
      <c r="AO258" s="26"/>
      <c r="AP258" s="26"/>
    </row>
    <row r="259" spans="1:42" ht="12.75" customHeight="1" x14ac:dyDescent="0.2">
      <c r="A259" s="5"/>
      <c r="B259" s="5"/>
      <c r="C259" s="5"/>
      <c r="E259" s="5"/>
      <c r="F259" s="5"/>
      <c r="N259" s="5"/>
      <c r="O259" s="5"/>
      <c r="X259" s="4"/>
      <c r="Y259" s="4"/>
      <c r="Z259" s="4"/>
      <c r="AA259" s="4"/>
      <c r="AB259" s="4"/>
      <c r="AC259" s="4"/>
      <c r="AD259" s="4"/>
      <c r="AE259" s="25"/>
      <c r="AF259" s="4"/>
      <c r="AG259" s="4"/>
      <c r="AH259" s="4"/>
      <c r="AI259" s="4"/>
      <c r="AM259" s="26"/>
      <c r="AN259" s="26"/>
      <c r="AO259" s="26"/>
      <c r="AP259" s="26"/>
    </row>
    <row r="260" spans="1:42" ht="12.75" customHeight="1" x14ac:dyDescent="0.2">
      <c r="A260" s="5"/>
      <c r="B260" s="5"/>
      <c r="C260" s="5"/>
      <c r="E260" s="5"/>
      <c r="F260" s="5"/>
      <c r="N260" s="5"/>
      <c r="O260" s="5"/>
      <c r="X260" s="4"/>
      <c r="Y260" s="4"/>
      <c r="Z260" s="4"/>
      <c r="AA260" s="4"/>
      <c r="AB260" s="4"/>
      <c r="AC260" s="4"/>
      <c r="AD260" s="4"/>
      <c r="AE260" s="25"/>
      <c r="AF260" s="4"/>
      <c r="AG260" s="4"/>
      <c r="AH260" s="4"/>
      <c r="AI260" s="4"/>
      <c r="AM260" s="26"/>
      <c r="AN260" s="26"/>
      <c r="AO260" s="26"/>
      <c r="AP260" s="26"/>
    </row>
    <row r="261" spans="1:42" ht="12.75" customHeight="1" x14ac:dyDescent="0.2">
      <c r="A261" s="5"/>
      <c r="B261" s="5"/>
      <c r="C261" s="5"/>
      <c r="E261" s="5"/>
      <c r="F261" s="5"/>
      <c r="N261" s="5"/>
      <c r="O261" s="5"/>
      <c r="X261" s="4"/>
      <c r="Y261" s="4"/>
      <c r="Z261" s="4"/>
      <c r="AA261" s="4"/>
      <c r="AB261" s="4"/>
      <c r="AC261" s="4"/>
      <c r="AD261" s="4"/>
      <c r="AE261" s="25"/>
      <c r="AF261" s="4"/>
      <c r="AG261" s="4"/>
      <c r="AH261" s="4"/>
      <c r="AI261" s="4"/>
      <c r="AM261" s="26"/>
      <c r="AN261" s="26"/>
      <c r="AO261" s="26"/>
      <c r="AP261" s="26"/>
    </row>
    <row r="262" spans="1:42" ht="12.75" customHeight="1" x14ac:dyDescent="0.2">
      <c r="A262" s="5"/>
      <c r="B262" s="5"/>
      <c r="C262" s="5"/>
      <c r="E262" s="5"/>
      <c r="F262" s="5"/>
      <c r="N262" s="5"/>
      <c r="O262" s="5"/>
      <c r="X262" s="4"/>
      <c r="Y262" s="4"/>
      <c r="Z262" s="4"/>
      <c r="AA262" s="4"/>
      <c r="AB262" s="4"/>
      <c r="AC262" s="4"/>
      <c r="AD262" s="4"/>
      <c r="AE262" s="25"/>
      <c r="AF262" s="4"/>
      <c r="AG262" s="4"/>
      <c r="AH262" s="4"/>
      <c r="AI262" s="4"/>
      <c r="AM262" s="26"/>
      <c r="AN262" s="26"/>
      <c r="AO262" s="26"/>
      <c r="AP262" s="26"/>
    </row>
    <row r="263" spans="1:42" ht="12.75" customHeight="1" x14ac:dyDescent="0.2">
      <c r="A263" s="5"/>
      <c r="B263" s="5"/>
      <c r="C263" s="5"/>
      <c r="E263" s="5"/>
      <c r="F263" s="5"/>
      <c r="N263" s="5"/>
      <c r="O263" s="5"/>
      <c r="X263" s="4"/>
      <c r="Y263" s="4"/>
      <c r="Z263" s="4"/>
      <c r="AA263" s="4"/>
      <c r="AB263" s="4"/>
      <c r="AC263" s="4"/>
      <c r="AD263" s="4"/>
      <c r="AE263" s="25"/>
      <c r="AF263" s="4"/>
      <c r="AG263" s="4"/>
      <c r="AH263" s="4"/>
      <c r="AI263" s="4"/>
      <c r="AM263" s="26"/>
      <c r="AN263" s="26"/>
      <c r="AO263" s="26"/>
      <c r="AP263" s="26"/>
    </row>
    <row r="264" spans="1:42" ht="12.75" customHeight="1" x14ac:dyDescent="0.2">
      <c r="A264" s="5"/>
      <c r="B264" s="5"/>
      <c r="C264" s="5"/>
      <c r="E264" s="5"/>
      <c r="F264" s="5"/>
      <c r="N264" s="5"/>
      <c r="O264" s="5"/>
      <c r="X264" s="4"/>
      <c r="Y264" s="4"/>
      <c r="Z264" s="4"/>
      <c r="AA264" s="4"/>
      <c r="AB264" s="4"/>
      <c r="AC264" s="4"/>
      <c r="AD264" s="4"/>
      <c r="AE264" s="25"/>
      <c r="AF264" s="4"/>
      <c r="AG264" s="4"/>
      <c r="AH264" s="4"/>
      <c r="AI264" s="4"/>
      <c r="AM264" s="26"/>
      <c r="AN264" s="26"/>
      <c r="AO264" s="26"/>
      <c r="AP264" s="26"/>
    </row>
    <row r="265" spans="1:42" ht="12.75" customHeight="1" x14ac:dyDescent="0.2">
      <c r="A265" s="5"/>
      <c r="B265" s="5"/>
      <c r="C265" s="5"/>
      <c r="E265" s="5"/>
      <c r="F265" s="5"/>
      <c r="N265" s="5"/>
      <c r="O265" s="5"/>
      <c r="X265" s="4"/>
      <c r="Y265" s="4"/>
      <c r="Z265" s="4"/>
      <c r="AA265" s="4"/>
      <c r="AB265" s="4"/>
      <c r="AC265" s="4"/>
      <c r="AD265" s="4"/>
      <c r="AE265" s="25"/>
      <c r="AF265" s="4"/>
      <c r="AG265" s="4"/>
      <c r="AH265" s="4"/>
      <c r="AI265" s="4"/>
      <c r="AM265" s="26"/>
      <c r="AN265" s="26"/>
      <c r="AO265" s="26"/>
      <c r="AP265" s="26"/>
    </row>
    <row r="266" spans="1:42" ht="12.75" customHeight="1" x14ac:dyDescent="0.2">
      <c r="A266" s="5"/>
      <c r="B266" s="5"/>
      <c r="C266" s="5"/>
      <c r="E266" s="5"/>
      <c r="F266" s="5"/>
      <c r="N266" s="5"/>
      <c r="O266" s="5"/>
      <c r="X266" s="4"/>
      <c r="Y266" s="4"/>
      <c r="Z266" s="4"/>
      <c r="AA266" s="4"/>
      <c r="AB266" s="4"/>
      <c r="AC266" s="4"/>
      <c r="AD266" s="4"/>
      <c r="AE266" s="25"/>
      <c r="AF266" s="4"/>
      <c r="AG266" s="4"/>
      <c r="AH266" s="4"/>
      <c r="AI266" s="4"/>
      <c r="AM266" s="26"/>
      <c r="AN266" s="26"/>
      <c r="AO266" s="26"/>
      <c r="AP266" s="26"/>
    </row>
    <row r="267" spans="1:42" ht="12.75" customHeight="1" x14ac:dyDescent="0.2">
      <c r="A267" s="5"/>
      <c r="B267" s="5"/>
      <c r="C267" s="5"/>
      <c r="E267" s="5"/>
      <c r="F267" s="5"/>
      <c r="N267" s="5"/>
      <c r="O267" s="5"/>
      <c r="X267" s="4"/>
      <c r="Y267" s="4"/>
      <c r="Z267" s="4"/>
      <c r="AA267" s="4"/>
      <c r="AB267" s="4"/>
      <c r="AC267" s="4"/>
      <c r="AD267" s="4"/>
      <c r="AE267" s="25"/>
      <c r="AF267" s="4"/>
      <c r="AG267" s="4"/>
      <c r="AH267" s="4"/>
      <c r="AI267" s="4"/>
      <c r="AM267" s="26"/>
      <c r="AN267" s="26"/>
      <c r="AO267" s="26"/>
      <c r="AP267" s="26"/>
    </row>
    <row r="268" spans="1:42" ht="12.75" customHeight="1" x14ac:dyDescent="0.2">
      <c r="A268" s="5"/>
      <c r="B268" s="5"/>
      <c r="C268" s="5"/>
      <c r="E268" s="5"/>
      <c r="F268" s="5"/>
      <c r="N268" s="5"/>
      <c r="O268" s="5"/>
      <c r="X268" s="4"/>
      <c r="Y268" s="4"/>
      <c r="Z268" s="4"/>
      <c r="AA268" s="4"/>
      <c r="AB268" s="4"/>
      <c r="AC268" s="4"/>
      <c r="AD268" s="4"/>
      <c r="AE268" s="25"/>
      <c r="AF268" s="4"/>
      <c r="AG268" s="4"/>
      <c r="AH268" s="4"/>
      <c r="AI268" s="4"/>
      <c r="AM268" s="26"/>
      <c r="AN268" s="26"/>
      <c r="AO268" s="26"/>
      <c r="AP268" s="26"/>
    </row>
    <row r="269" spans="1:42" ht="12.75" customHeight="1" x14ac:dyDescent="0.2">
      <c r="A269" s="5"/>
      <c r="B269" s="5"/>
      <c r="C269" s="5"/>
      <c r="E269" s="5"/>
      <c r="F269" s="5"/>
      <c r="N269" s="5"/>
      <c r="O269" s="5"/>
      <c r="X269" s="4"/>
      <c r="Y269" s="4"/>
      <c r="Z269" s="4"/>
      <c r="AA269" s="4"/>
      <c r="AB269" s="4"/>
      <c r="AC269" s="4"/>
      <c r="AD269" s="4"/>
      <c r="AE269" s="25"/>
      <c r="AF269" s="4"/>
      <c r="AG269" s="4"/>
      <c r="AH269" s="4"/>
      <c r="AI269" s="4"/>
      <c r="AM269" s="26"/>
      <c r="AN269" s="26"/>
      <c r="AO269" s="26"/>
      <c r="AP269" s="26"/>
    </row>
    <row r="270" spans="1:42" ht="12.75" customHeight="1" x14ac:dyDescent="0.2">
      <c r="A270" s="5"/>
      <c r="B270" s="5"/>
      <c r="C270" s="5"/>
      <c r="E270" s="5"/>
      <c r="F270" s="5"/>
      <c r="N270" s="5"/>
      <c r="O270" s="5"/>
      <c r="X270" s="4"/>
      <c r="Y270" s="4"/>
      <c r="Z270" s="4"/>
      <c r="AA270" s="4"/>
      <c r="AB270" s="4"/>
      <c r="AC270" s="4"/>
      <c r="AD270" s="4"/>
      <c r="AE270" s="25"/>
      <c r="AF270" s="4"/>
      <c r="AG270" s="4"/>
      <c r="AH270" s="4"/>
      <c r="AI270" s="4"/>
      <c r="AM270" s="26"/>
      <c r="AN270" s="26"/>
      <c r="AO270" s="26"/>
      <c r="AP270" s="26"/>
    </row>
    <row r="271" spans="1:42" ht="12.75" customHeight="1" x14ac:dyDescent="0.2">
      <c r="A271" s="5"/>
      <c r="B271" s="5"/>
      <c r="C271" s="5"/>
      <c r="E271" s="5"/>
      <c r="F271" s="5"/>
      <c r="N271" s="5"/>
      <c r="O271" s="5"/>
      <c r="X271" s="4"/>
      <c r="Y271" s="4"/>
      <c r="Z271" s="4"/>
      <c r="AA271" s="4"/>
      <c r="AB271" s="4"/>
      <c r="AC271" s="4"/>
      <c r="AD271" s="4"/>
      <c r="AE271" s="25"/>
      <c r="AF271" s="4"/>
      <c r="AG271" s="4"/>
      <c r="AH271" s="4"/>
      <c r="AI271" s="4"/>
      <c r="AM271" s="26"/>
      <c r="AN271" s="26"/>
      <c r="AO271" s="26"/>
      <c r="AP271" s="26"/>
    </row>
    <row r="272" spans="1:42" ht="12.75" customHeight="1" x14ac:dyDescent="0.2">
      <c r="A272" s="5"/>
      <c r="B272" s="5"/>
      <c r="C272" s="5"/>
      <c r="E272" s="5"/>
      <c r="F272" s="5"/>
      <c r="N272" s="5"/>
      <c r="O272" s="5"/>
      <c r="X272" s="4"/>
      <c r="Y272" s="4"/>
      <c r="Z272" s="4"/>
      <c r="AA272" s="4"/>
      <c r="AB272" s="4"/>
      <c r="AC272" s="4"/>
      <c r="AD272" s="4"/>
      <c r="AE272" s="25"/>
      <c r="AF272" s="4"/>
      <c r="AG272" s="4"/>
      <c r="AH272" s="4"/>
      <c r="AI272" s="4"/>
      <c r="AM272" s="26"/>
      <c r="AN272" s="26"/>
      <c r="AO272" s="26"/>
      <c r="AP272" s="26"/>
    </row>
    <row r="273" spans="1:42" ht="12.75" customHeight="1" x14ac:dyDescent="0.2">
      <c r="A273" s="5"/>
      <c r="B273" s="5"/>
      <c r="C273" s="5"/>
      <c r="E273" s="5"/>
      <c r="F273" s="5"/>
      <c r="N273" s="5"/>
      <c r="O273" s="5"/>
      <c r="X273" s="4"/>
      <c r="Y273" s="4"/>
      <c r="Z273" s="4"/>
      <c r="AA273" s="4"/>
      <c r="AB273" s="4"/>
      <c r="AC273" s="4"/>
      <c r="AD273" s="4"/>
      <c r="AE273" s="25"/>
      <c r="AF273" s="4"/>
      <c r="AG273" s="4"/>
      <c r="AH273" s="4"/>
      <c r="AI273" s="4"/>
      <c r="AM273" s="26"/>
      <c r="AN273" s="26"/>
      <c r="AO273" s="26"/>
      <c r="AP273" s="26"/>
    </row>
    <row r="274" spans="1:42" ht="12.75" customHeight="1" x14ac:dyDescent="0.2">
      <c r="A274" s="5"/>
      <c r="B274" s="5"/>
      <c r="C274" s="5"/>
      <c r="E274" s="5"/>
      <c r="F274" s="5"/>
      <c r="N274" s="5"/>
      <c r="O274" s="5"/>
      <c r="X274" s="4"/>
      <c r="Y274" s="4"/>
      <c r="Z274" s="4"/>
      <c r="AA274" s="4"/>
      <c r="AB274" s="4"/>
      <c r="AC274" s="4"/>
      <c r="AD274" s="4"/>
      <c r="AE274" s="25"/>
      <c r="AF274" s="4"/>
      <c r="AG274" s="4"/>
      <c r="AH274" s="4"/>
      <c r="AI274" s="4"/>
      <c r="AM274" s="26"/>
      <c r="AN274" s="26"/>
      <c r="AO274" s="26"/>
      <c r="AP274" s="26"/>
    </row>
    <row r="275" spans="1:42" ht="12.75" customHeight="1" x14ac:dyDescent="0.2">
      <c r="A275" s="5"/>
      <c r="B275" s="5"/>
      <c r="C275" s="5"/>
      <c r="E275" s="5"/>
      <c r="F275" s="5"/>
      <c r="N275" s="5"/>
      <c r="O275" s="5"/>
      <c r="X275" s="4"/>
      <c r="Y275" s="4"/>
      <c r="Z275" s="4"/>
      <c r="AA275" s="4"/>
      <c r="AB275" s="4"/>
      <c r="AC275" s="4"/>
      <c r="AD275" s="4"/>
      <c r="AE275" s="25"/>
      <c r="AF275" s="4"/>
      <c r="AG275" s="4"/>
      <c r="AH275" s="4"/>
      <c r="AI275" s="4"/>
      <c r="AM275" s="26"/>
      <c r="AN275" s="26"/>
      <c r="AO275" s="26"/>
      <c r="AP275" s="26"/>
    </row>
    <row r="276" spans="1:42" ht="12.75" customHeight="1" x14ac:dyDescent="0.2">
      <c r="A276" s="5"/>
      <c r="B276" s="5"/>
      <c r="C276" s="5"/>
      <c r="E276" s="5"/>
      <c r="F276" s="5"/>
      <c r="N276" s="5"/>
      <c r="O276" s="5"/>
      <c r="X276" s="4"/>
      <c r="Y276" s="4"/>
      <c r="Z276" s="4"/>
      <c r="AA276" s="4"/>
      <c r="AB276" s="4"/>
      <c r="AC276" s="4"/>
      <c r="AD276" s="4"/>
      <c r="AE276" s="25"/>
      <c r="AF276" s="4"/>
      <c r="AG276" s="4"/>
      <c r="AH276" s="4"/>
      <c r="AI276" s="4"/>
      <c r="AM276" s="26"/>
      <c r="AN276" s="26"/>
      <c r="AO276" s="26"/>
      <c r="AP276" s="26"/>
    </row>
    <row r="277" spans="1:42" ht="12.75" customHeight="1" x14ac:dyDescent="0.2">
      <c r="A277" s="5"/>
      <c r="B277" s="5"/>
      <c r="C277" s="5"/>
      <c r="E277" s="5"/>
      <c r="F277" s="5"/>
      <c r="N277" s="5"/>
      <c r="O277" s="5"/>
      <c r="X277" s="4"/>
      <c r="Y277" s="4"/>
      <c r="Z277" s="4"/>
      <c r="AA277" s="4"/>
      <c r="AB277" s="4"/>
      <c r="AC277" s="4"/>
      <c r="AD277" s="4"/>
      <c r="AE277" s="25"/>
      <c r="AF277" s="4"/>
      <c r="AG277" s="4"/>
      <c r="AH277" s="4"/>
      <c r="AI277" s="4"/>
      <c r="AM277" s="26"/>
      <c r="AN277" s="26"/>
      <c r="AO277" s="26"/>
      <c r="AP277" s="26"/>
    </row>
    <row r="278" spans="1:42" ht="12.75" customHeight="1" x14ac:dyDescent="0.2">
      <c r="A278" s="5"/>
      <c r="B278" s="5"/>
      <c r="C278" s="5"/>
      <c r="E278" s="5"/>
      <c r="F278" s="5"/>
      <c r="N278" s="5"/>
      <c r="O278" s="5"/>
      <c r="X278" s="4"/>
      <c r="Y278" s="4"/>
      <c r="Z278" s="4"/>
      <c r="AA278" s="4"/>
      <c r="AB278" s="4"/>
      <c r="AC278" s="4"/>
      <c r="AD278" s="4"/>
      <c r="AE278" s="25"/>
      <c r="AF278" s="4"/>
      <c r="AG278" s="4"/>
      <c r="AH278" s="4"/>
      <c r="AI278" s="4"/>
      <c r="AM278" s="26"/>
      <c r="AN278" s="26"/>
      <c r="AO278" s="26"/>
      <c r="AP278" s="26"/>
    </row>
    <row r="279" spans="1:42" ht="12.75" customHeight="1" x14ac:dyDescent="0.2">
      <c r="A279" s="5"/>
      <c r="B279" s="5"/>
      <c r="C279" s="5"/>
      <c r="E279" s="5"/>
      <c r="F279" s="5"/>
      <c r="N279" s="5"/>
      <c r="O279" s="5"/>
      <c r="X279" s="4"/>
      <c r="Y279" s="4"/>
      <c r="Z279" s="4"/>
      <c r="AA279" s="4"/>
      <c r="AB279" s="4"/>
      <c r="AC279" s="4"/>
      <c r="AD279" s="4"/>
      <c r="AE279" s="25"/>
      <c r="AF279" s="4"/>
      <c r="AG279" s="4"/>
      <c r="AH279" s="4"/>
      <c r="AI279" s="4"/>
      <c r="AM279" s="26"/>
      <c r="AN279" s="26"/>
      <c r="AO279" s="26"/>
      <c r="AP279" s="26"/>
    </row>
    <row r="280" spans="1:42" ht="12.75" customHeight="1" x14ac:dyDescent="0.2">
      <c r="A280" s="5"/>
      <c r="B280" s="5"/>
      <c r="C280" s="5"/>
      <c r="E280" s="5"/>
      <c r="F280" s="5"/>
      <c r="N280" s="5"/>
      <c r="O280" s="5"/>
      <c r="X280" s="4"/>
      <c r="Y280" s="4"/>
      <c r="Z280" s="4"/>
      <c r="AA280" s="4"/>
      <c r="AB280" s="4"/>
      <c r="AC280" s="4"/>
      <c r="AD280" s="4"/>
      <c r="AE280" s="25"/>
      <c r="AF280" s="4"/>
      <c r="AG280" s="4"/>
      <c r="AH280" s="4"/>
      <c r="AI280" s="4"/>
      <c r="AM280" s="26"/>
      <c r="AN280" s="26"/>
      <c r="AO280" s="26"/>
      <c r="AP280" s="26"/>
    </row>
    <row r="281" spans="1:42" ht="12.75" customHeight="1" x14ac:dyDescent="0.2">
      <c r="A281" s="5"/>
      <c r="B281" s="5"/>
      <c r="C281" s="5"/>
      <c r="E281" s="5"/>
      <c r="F281" s="5"/>
      <c r="N281" s="5"/>
      <c r="O281" s="5"/>
      <c r="X281" s="4"/>
      <c r="Y281" s="4"/>
      <c r="Z281" s="4"/>
      <c r="AA281" s="4"/>
      <c r="AB281" s="4"/>
      <c r="AC281" s="4"/>
      <c r="AD281" s="4"/>
      <c r="AE281" s="25"/>
      <c r="AF281" s="4"/>
      <c r="AG281" s="4"/>
      <c r="AH281" s="4"/>
      <c r="AI281" s="4"/>
      <c r="AM281" s="26"/>
      <c r="AN281" s="26"/>
      <c r="AO281" s="26"/>
      <c r="AP281" s="26"/>
    </row>
    <row r="282" spans="1:42" ht="12.75" customHeight="1" x14ac:dyDescent="0.2">
      <c r="A282" s="5"/>
      <c r="B282" s="5"/>
      <c r="C282" s="5"/>
      <c r="E282" s="5"/>
      <c r="F282" s="5"/>
      <c r="N282" s="5"/>
      <c r="O282" s="5"/>
      <c r="X282" s="4"/>
      <c r="Y282" s="4"/>
      <c r="Z282" s="4"/>
      <c r="AA282" s="4"/>
      <c r="AB282" s="4"/>
      <c r="AC282" s="4"/>
      <c r="AD282" s="4"/>
      <c r="AE282" s="25"/>
      <c r="AF282" s="4"/>
      <c r="AG282" s="4"/>
      <c r="AH282" s="4"/>
      <c r="AI282" s="4"/>
      <c r="AM282" s="26"/>
      <c r="AN282" s="26"/>
      <c r="AO282" s="26"/>
      <c r="AP282" s="26"/>
    </row>
    <row r="283" spans="1:42" ht="12.75" customHeight="1" x14ac:dyDescent="0.2">
      <c r="A283" s="5"/>
      <c r="B283" s="5"/>
      <c r="C283" s="5"/>
      <c r="E283" s="5"/>
      <c r="F283" s="5"/>
      <c r="N283" s="5"/>
      <c r="O283" s="5"/>
      <c r="X283" s="4"/>
      <c r="Y283" s="4"/>
      <c r="Z283" s="4"/>
      <c r="AA283" s="4"/>
      <c r="AB283" s="4"/>
      <c r="AC283" s="4"/>
      <c r="AD283" s="4"/>
      <c r="AE283" s="25"/>
      <c r="AF283" s="4"/>
      <c r="AG283" s="4"/>
      <c r="AH283" s="4"/>
      <c r="AI283" s="4"/>
      <c r="AM283" s="26"/>
      <c r="AN283" s="26"/>
      <c r="AO283" s="26"/>
      <c r="AP283" s="26"/>
    </row>
    <row r="284" spans="1:42" ht="12.75" customHeight="1" x14ac:dyDescent="0.2">
      <c r="A284" s="5"/>
      <c r="B284" s="5"/>
      <c r="C284" s="5"/>
      <c r="E284" s="5"/>
      <c r="F284" s="5"/>
      <c r="N284" s="5"/>
      <c r="O284" s="5"/>
      <c r="X284" s="4"/>
      <c r="Y284" s="4"/>
      <c r="Z284" s="4"/>
      <c r="AA284" s="4"/>
      <c r="AB284" s="4"/>
      <c r="AC284" s="4"/>
      <c r="AD284" s="4"/>
      <c r="AE284" s="25"/>
      <c r="AF284" s="4"/>
      <c r="AG284" s="4"/>
      <c r="AH284" s="4"/>
      <c r="AI284" s="4"/>
      <c r="AM284" s="26"/>
      <c r="AN284" s="26"/>
      <c r="AO284" s="26"/>
      <c r="AP284" s="26"/>
    </row>
    <row r="285" spans="1:42" ht="12.75" customHeight="1" x14ac:dyDescent="0.2">
      <c r="A285" s="5"/>
      <c r="B285" s="5"/>
      <c r="C285" s="5"/>
      <c r="E285" s="5"/>
      <c r="F285" s="5"/>
      <c r="N285" s="5"/>
      <c r="O285" s="5"/>
      <c r="X285" s="4"/>
      <c r="Y285" s="4"/>
      <c r="Z285" s="4"/>
      <c r="AA285" s="4"/>
      <c r="AB285" s="4"/>
      <c r="AC285" s="4"/>
      <c r="AD285" s="4"/>
      <c r="AE285" s="25"/>
      <c r="AF285" s="4"/>
      <c r="AG285" s="4"/>
      <c r="AH285" s="4"/>
      <c r="AI285" s="4"/>
      <c r="AM285" s="26"/>
      <c r="AN285" s="26"/>
      <c r="AO285" s="26"/>
      <c r="AP285" s="26"/>
    </row>
    <row r="286" spans="1:42" ht="12.75" customHeight="1" x14ac:dyDescent="0.2">
      <c r="A286" s="5"/>
      <c r="B286" s="5"/>
      <c r="C286" s="5"/>
      <c r="E286" s="5"/>
      <c r="F286" s="5"/>
      <c r="N286" s="5"/>
      <c r="O286" s="5"/>
      <c r="X286" s="4"/>
      <c r="Y286" s="4"/>
      <c r="Z286" s="4"/>
      <c r="AA286" s="4"/>
      <c r="AB286" s="4"/>
      <c r="AC286" s="4"/>
      <c r="AD286" s="4"/>
      <c r="AE286" s="25"/>
      <c r="AF286" s="4"/>
      <c r="AG286" s="4"/>
      <c r="AH286" s="4"/>
      <c r="AI286" s="4"/>
      <c r="AM286" s="26"/>
      <c r="AN286" s="26"/>
      <c r="AO286" s="26"/>
      <c r="AP286" s="26"/>
    </row>
    <row r="287" spans="1:42" ht="12.75" customHeight="1" x14ac:dyDescent="0.2">
      <c r="A287" s="5"/>
      <c r="B287" s="5"/>
      <c r="C287" s="5"/>
      <c r="E287" s="5"/>
      <c r="F287" s="5"/>
      <c r="N287" s="5"/>
      <c r="O287" s="5"/>
      <c r="X287" s="4"/>
      <c r="Y287" s="4"/>
      <c r="Z287" s="4"/>
      <c r="AA287" s="4"/>
      <c r="AB287" s="4"/>
      <c r="AC287" s="4"/>
      <c r="AD287" s="4"/>
      <c r="AE287" s="25"/>
      <c r="AF287" s="4"/>
      <c r="AG287" s="4"/>
      <c r="AH287" s="4"/>
      <c r="AI287" s="4"/>
      <c r="AM287" s="26"/>
      <c r="AN287" s="26"/>
      <c r="AO287" s="26"/>
      <c r="AP287" s="26"/>
    </row>
    <row r="288" spans="1:42" ht="12.75" customHeight="1" x14ac:dyDescent="0.2">
      <c r="A288" s="5"/>
      <c r="B288" s="5"/>
      <c r="C288" s="5"/>
      <c r="E288" s="5"/>
      <c r="F288" s="5"/>
      <c r="N288" s="5"/>
      <c r="O288" s="5"/>
      <c r="X288" s="4"/>
      <c r="Y288" s="4"/>
      <c r="Z288" s="4"/>
      <c r="AA288" s="4"/>
      <c r="AB288" s="4"/>
      <c r="AC288" s="4"/>
      <c r="AD288" s="4"/>
      <c r="AE288" s="25"/>
      <c r="AF288" s="4"/>
      <c r="AG288" s="4"/>
      <c r="AH288" s="4"/>
      <c r="AI288" s="4"/>
      <c r="AM288" s="26"/>
      <c r="AN288" s="26"/>
      <c r="AO288" s="26"/>
      <c r="AP288" s="26"/>
    </row>
    <row r="289" spans="1:42" ht="12.75" customHeight="1" x14ac:dyDescent="0.2">
      <c r="A289" s="5"/>
      <c r="B289" s="5"/>
      <c r="C289" s="5"/>
      <c r="E289" s="5"/>
      <c r="F289" s="5"/>
      <c r="N289" s="5"/>
      <c r="O289" s="5"/>
      <c r="X289" s="4"/>
      <c r="Y289" s="4"/>
      <c r="Z289" s="4"/>
      <c r="AA289" s="4"/>
      <c r="AB289" s="4"/>
      <c r="AC289" s="4"/>
      <c r="AD289" s="4"/>
      <c r="AE289" s="25"/>
      <c r="AF289" s="4"/>
      <c r="AG289" s="4"/>
      <c r="AH289" s="4"/>
      <c r="AI289" s="4"/>
      <c r="AM289" s="26"/>
      <c r="AN289" s="26"/>
      <c r="AO289" s="26"/>
      <c r="AP289" s="26"/>
    </row>
    <row r="290" spans="1:42" ht="12.75" customHeight="1" x14ac:dyDescent="0.2">
      <c r="A290" s="5"/>
      <c r="B290" s="5"/>
      <c r="C290" s="5"/>
      <c r="E290" s="5"/>
      <c r="F290" s="5"/>
      <c r="N290" s="5"/>
      <c r="O290" s="5"/>
      <c r="X290" s="4"/>
      <c r="Y290" s="4"/>
      <c r="Z290" s="4"/>
      <c r="AA290" s="4"/>
      <c r="AB290" s="4"/>
      <c r="AC290" s="4"/>
      <c r="AD290" s="4"/>
      <c r="AE290" s="25"/>
      <c r="AF290" s="4"/>
      <c r="AG290" s="4"/>
      <c r="AH290" s="4"/>
      <c r="AI290" s="4"/>
      <c r="AM290" s="26"/>
      <c r="AN290" s="26"/>
      <c r="AO290" s="26"/>
      <c r="AP290" s="26"/>
    </row>
    <row r="291" spans="1:42" ht="12.75" customHeight="1" x14ac:dyDescent="0.2">
      <c r="A291" s="5"/>
      <c r="B291" s="5"/>
      <c r="C291" s="5"/>
      <c r="E291" s="5"/>
      <c r="F291" s="5"/>
      <c r="N291" s="5"/>
      <c r="O291" s="5"/>
      <c r="X291" s="4"/>
      <c r="Y291" s="4"/>
      <c r="Z291" s="4"/>
      <c r="AA291" s="4"/>
      <c r="AB291" s="4"/>
      <c r="AC291" s="4"/>
      <c r="AD291" s="4"/>
      <c r="AE291" s="25"/>
      <c r="AF291" s="4"/>
      <c r="AG291" s="4"/>
      <c r="AH291" s="4"/>
      <c r="AI291" s="4"/>
      <c r="AM291" s="26"/>
      <c r="AN291" s="26"/>
      <c r="AO291" s="26"/>
      <c r="AP291" s="26"/>
    </row>
    <row r="292" spans="1:42" ht="12.75" customHeight="1" x14ac:dyDescent="0.2">
      <c r="A292" s="5"/>
      <c r="B292" s="5"/>
      <c r="C292" s="5"/>
      <c r="E292" s="5"/>
      <c r="F292" s="5"/>
      <c r="N292" s="5"/>
      <c r="O292" s="5"/>
      <c r="X292" s="4"/>
      <c r="Y292" s="4"/>
      <c r="Z292" s="4"/>
      <c r="AA292" s="4"/>
      <c r="AB292" s="4"/>
      <c r="AC292" s="4"/>
      <c r="AD292" s="4"/>
      <c r="AE292" s="25"/>
      <c r="AF292" s="4"/>
      <c r="AG292" s="4"/>
      <c r="AH292" s="4"/>
      <c r="AI292" s="4"/>
      <c r="AM292" s="26"/>
      <c r="AN292" s="26"/>
      <c r="AO292" s="26"/>
      <c r="AP292" s="26"/>
    </row>
    <row r="293" spans="1:42" ht="12.75" customHeight="1" x14ac:dyDescent="0.2">
      <c r="A293" s="5"/>
      <c r="B293" s="5"/>
      <c r="C293" s="5"/>
      <c r="E293" s="5"/>
      <c r="F293" s="5"/>
      <c r="N293" s="5"/>
      <c r="O293" s="5"/>
      <c r="X293" s="4"/>
      <c r="Y293" s="4"/>
      <c r="Z293" s="4"/>
      <c r="AA293" s="4"/>
      <c r="AB293" s="4"/>
      <c r="AC293" s="4"/>
      <c r="AD293" s="4"/>
      <c r="AE293" s="25"/>
      <c r="AF293" s="4"/>
      <c r="AG293" s="4"/>
      <c r="AH293" s="4"/>
      <c r="AI293" s="4"/>
      <c r="AM293" s="26"/>
      <c r="AN293" s="26"/>
      <c r="AO293" s="26"/>
      <c r="AP293" s="26"/>
    </row>
    <row r="294" spans="1:42" ht="12.75" customHeight="1" x14ac:dyDescent="0.2">
      <c r="A294" s="5"/>
      <c r="B294" s="5"/>
      <c r="C294" s="5"/>
      <c r="E294" s="5"/>
      <c r="F294" s="5"/>
      <c r="N294" s="5"/>
      <c r="O294" s="5"/>
      <c r="X294" s="4"/>
      <c r="Y294" s="4"/>
      <c r="Z294" s="4"/>
      <c r="AA294" s="4"/>
      <c r="AB294" s="4"/>
      <c r="AC294" s="4"/>
      <c r="AD294" s="4"/>
      <c r="AE294" s="25"/>
      <c r="AF294" s="4"/>
      <c r="AG294" s="4"/>
      <c r="AH294" s="4"/>
      <c r="AI294" s="4"/>
      <c r="AM294" s="26"/>
      <c r="AN294" s="26"/>
      <c r="AO294" s="26"/>
      <c r="AP294" s="26"/>
    </row>
    <row r="295" spans="1:42" ht="12.75" customHeight="1" x14ac:dyDescent="0.2">
      <c r="A295" s="5"/>
      <c r="B295" s="5"/>
      <c r="C295" s="5"/>
      <c r="E295" s="5"/>
      <c r="F295" s="5"/>
      <c r="N295" s="5"/>
      <c r="O295" s="5"/>
      <c r="X295" s="4"/>
      <c r="Y295" s="4"/>
      <c r="Z295" s="4"/>
      <c r="AA295" s="4"/>
      <c r="AB295" s="4"/>
      <c r="AC295" s="4"/>
      <c r="AD295" s="4"/>
      <c r="AE295" s="25"/>
      <c r="AF295" s="4"/>
      <c r="AG295" s="4"/>
      <c r="AH295" s="4"/>
      <c r="AI295" s="4"/>
      <c r="AM295" s="26"/>
      <c r="AN295" s="26"/>
      <c r="AO295" s="26"/>
      <c r="AP295" s="26"/>
    </row>
    <row r="296" spans="1:42" ht="12.75" customHeight="1" x14ac:dyDescent="0.2">
      <c r="A296" s="5"/>
      <c r="B296" s="5"/>
      <c r="C296" s="5"/>
      <c r="E296" s="5"/>
      <c r="F296" s="5"/>
      <c r="N296" s="5"/>
      <c r="O296" s="5"/>
      <c r="X296" s="4"/>
      <c r="Y296" s="4"/>
      <c r="Z296" s="4"/>
      <c r="AA296" s="4"/>
      <c r="AB296" s="4"/>
      <c r="AC296" s="4"/>
      <c r="AD296" s="4"/>
      <c r="AE296" s="25"/>
      <c r="AF296" s="4"/>
      <c r="AG296" s="4"/>
      <c r="AH296" s="4"/>
      <c r="AI296" s="4"/>
      <c r="AM296" s="26"/>
      <c r="AN296" s="26"/>
      <c r="AO296" s="26"/>
      <c r="AP296" s="26"/>
    </row>
    <row r="297" spans="1:42" ht="12.75" customHeight="1" x14ac:dyDescent="0.2">
      <c r="A297" s="5"/>
      <c r="B297" s="5"/>
      <c r="C297" s="5"/>
      <c r="E297" s="5"/>
      <c r="F297" s="5"/>
      <c r="N297" s="5"/>
      <c r="O297" s="5"/>
      <c r="X297" s="4"/>
      <c r="Y297" s="4"/>
      <c r="Z297" s="4"/>
      <c r="AA297" s="4"/>
      <c r="AB297" s="4"/>
      <c r="AC297" s="4"/>
      <c r="AD297" s="4"/>
      <c r="AE297" s="25"/>
      <c r="AF297" s="4"/>
      <c r="AG297" s="4"/>
      <c r="AH297" s="4"/>
      <c r="AI297" s="4"/>
      <c r="AM297" s="26"/>
      <c r="AN297" s="26"/>
      <c r="AO297" s="26"/>
      <c r="AP297" s="26"/>
    </row>
    <row r="298" spans="1:42" ht="12.75" customHeight="1" x14ac:dyDescent="0.2">
      <c r="A298" s="5"/>
      <c r="B298" s="5"/>
      <c r="C298" s="5"/>
      <c r="E298" s="5"/>
      <c r="F298" s="5"/>
      <c r="N298" s="5"/>
      <c r="O298" s="5"/>
      <c r="X298" s="4"/>
      <c r="Y298" s="4"/>
      <c r="Z298" s="4"/>
      <c r="AA298" s="4"/>
      <c r="AB298" s="4"/>
      <c r="AC298" s="4"/>
      <c r="AD298" s="4"/>
      <c r="AE298" s="25"/>
      <c r="AF298" s="4"/>
      <c r="AG298" s="4"/>
      <c r="AH298" s="4"/>
      <c r="AI298" s="4"/>
      <c r="AM298" s="26"/>
      <c r="AN298" s="26"/>
      <c r="AO298" s="26"/>
      <c r="AP298" s="26"/>
    </row>
    <row r="299" spans="1:42" ht="12.75" customHeight="1" x14ac:dyDescent="0.2">
      <c r="A299" s="5"/>
      <c r="B299" s="5"/>
      <c r="C299" s="5"/>
      <c r="E299" s="5"/>
      <c r="F299" s="5"/>
      <c r="N299" s="5"/>
      <c r="O299" s="5"/>
      <c r="X299" s="4"/>
      <c r="Y299" s="4"/>
      <c r="Z299" s="4"/>
      <c r="AA299" s="4"/>
      <c r="AB299" s="4"/>
      <c r="AC299" s="4"/>
      <c r="AD299" s="4"/>
      <c r="AE299" s="25"/>
      <c r="AF299" s="4"/>
      <c r="AG299" s="4"/>
      <c r="AH299" s="4"/>
      <c r="AI299" s="4"/>
      <c r="AM299" s="26"/>
      <c r="AN299" s="26"/>
      <c r="AO299" s="26"/>
      <c r="AP299" s="26"/>
    </row>
    <row r="300" spans="1:42" ht="12.75" customHeight="1" x14ac:dyDescent="0.2">
      <c r="A300" s="5"/>
      <c r="B300" s="5"/>
      <c r="C300" s="5"/>
      <c r="E300" s="5"/>
      <c r="F300" s="5"/>
      <c r="N300" s="5"/>
      <c r="O300" s="5"/>
      <c r="X300" s="4"/>
      <c r="Y300" s="4"/>
      <c r="Z300" s="4"/>
      <c r="AA300" s="4"/>
      <c r="AB300" s="4"/>
      <c r="AC300" s="4"/>
      <c r="AD300" s="4"/>
      <c r="AE300" s="25"/>
      <c r="AF300" s="4"/>
      <c r="AG300" s="4"/>
      <c r="AH300" s="4"/>
      <c r="AI300" s="4"/>
      <c r="AM300" s="26"/>
      <c r="AN300" s="26"/>
      <c r="AO300" s="26"/>
      <c r="AP300" s="26"/>
    </row>
    <row r="301" spans="1:42" ht="12.75" customHeight="1" x14ac:dyDescent="0.2">
      <c r="A301" s="5"/>
      <c r="B301" s="5"/>
      <c r="C301" s="5"/>
      <c r="E301" s="5"/>
      <c r="F301" s="5"/>
      <c r="N301" s="5"/>
      <c r="O301" s="5"/>
      <c r="X301" s="4"/>
      <c r="Y301" s="4"/>
      <c r="Z301" s="4"/>
      <c r="AA301" s="4"/>
      <c r="AB301" s="4"/>
      <c r="AC301" s="4"/>
      <c r="AD301" s="4"/>
      <c r="AE301" s="25"/>
      <c r="AF301" s="4"/>
      <c r="AG301" s="4"/>
      <c r="AH301" s="4"/>
      <c r="AI301" s="4"/>
      <c r="AM301" s="26"/>
      <c r="AN301" s="26"/>
      <c r="AO301" s="26"/>
      <c r="AP301" s="26"/>
    </row>
    <row r="302" spans="1:42" ht="12.75" customHeight="1" x14ac:dyDescent="0.2">
      <c r="A302" s="5"/>
      <c r="B302" s="5"/>
      <c r="C302" s="5"/>
      <c r="E302" s="5"/>
      <c r="F302" s="5"/>
      <c r="N302" s="5"/>
      <c r="O302" s="5"/>
      <c r="X302" s="4"/>
      <c r="Y302" s="4"/>
      <c r="Z302" s="4"/>
      <c r="AA302" s="4"/>
      <c r="AB302" s="4"/>
      <c r="AC302" s="4"/>
      <c r="AD302" s="4"/>
      <c r="AE302" s="25"/>
      <c r="AF302" s="4"/>
      <c r="AG302" s="4"/>
      <c r="AH302" s="4"/>
      <c r="AI302" s="4"/>
      <c r="AM302" s="26"/>
      <c r="AN302" s="26"/>
      <c r="AO302" s="26"/>
      <c r="AP302" s="26"/>
    </row>
    <row r="303" spans="1:42" ht="12.75" customHeight="1" x14ac:dyDescent="0.2">
      <c r="A303" s="5"/>
      <c r="B303" s="5"/>
      <c r="C303" s="5"/>
      <c r="E303" s="5"/>
      <c r="F303" s="5"/>
      <c r="N303" s="5"/>
      <c r="O303" s="5"/>
      <c r="X303" s="4"/>
      <c r="Y303" s="4"/>
      <c r="Z303" s="4"/>
      <c r="AA303" s="4"/>
      <c r="AB303" s="4"/>
      <c r="AC303" s="4"/>
      <c r="AD303" s="4"/>
      <c r="AE303" s="25"/>
      <c r="AF303" s="4"/>
      <c r="AG303" s="4"/>
      <c r="AH303" s="4"/>
      <c r="AI303" s="4"/>
      <c r="AM303" s="26"/>
      <c r="AN303" s="26"/>
      <c r="AO303" s="26"/>
      <c r="AP303" s="26"/>
    </row>
    <row r="304" spans="1:42" ht="12.75" customHeight="1" x14ac:dyDescent="0.2">
      <c r="A304" s="5"/>
      <c r="B304" s="5"/>
      <c r="C304" s="5"/>
      <c r="E304" s="5"/>
      <c r="F304" s="5"/>
      <c r="N304" s="5"/>
      <c r="O304" s="5"/>
      <c r="X304" s="4"/>
      <c r="Y304" s="4"/>
      <c r="Z304" s="4"/>
      <c r="AA304" s="4"/>
      <c r="AB304" s="4"/>
      <c r="AC304" s="4"/>
      <c r="AD304" s="4"/>
      <c r="AE304" s="25"/>
      <c r="AF304" s="4"/>
      <c r="AG304" s="4"/>
      <c r="AH304" s="4"/>
      <c r="AI304" s="4"/>
      <c r="AM304" s="26"/>
      <c r="AN304" s="26"/>
      <c r="AO304" s="26"/>
      <c r="AP304" s="26"/>
    </row>
    <row r="305" spans="1:42" ht="12.75" customHeight="1" x14ac:dyDescent="0.2">
      <c r="A305" s="5"/>
      <c r="B305" s="5"/>
      <c r="C305" s="5"/>
      <c r="E305" s="5"/>
      <c r="F305" s="5"/>
      <c r="N305" s="5"/>
      <c r="O305" s="5"/>
      <c r="X305" s="4"/>
      <c r="Y305" s="4"/>
      <c r="Z305" s="4"/>
      <c r="AA305" s="4"/>
      <c r="AB305" s="4"/>
      <c r="AC305" s="4"/>
      <c r="AD305" s="4"/>
      <c r="AE305" s="25"/>
      <c r="AF305" s="4"/>
      <c r="AG305" s="4"/>
      <c r="AH305" s="4"/>
      <c r="AI305" s="4"/>
      <c r="AM305" s="26"/>
      <c r="AN305" s="26"/>
      <c r="AO305" s="26"/>
      <c r="AP305" s="26"/>
    </row>
    <row r="306" spans="1:42" ht="12.75" customHeight="1" x14ac:dyDescent="0.2">
      <c r="A306" s="5"/>
      <c r="B306" s="5"/>
      <c r="C306" s="5"/>
      <c r="E306" s="5"/>
      <c r="F306" s="5"/>
      <c r="N306" s="5"/>
      <c r="O306" s="5"/>
      <c r="X306" s="4"/>
      <c r="Y306" s="4"/>
      <c r="Z306" s="4"/>
      <c r="AA306" s="4"/>
      <c r="AB306" s="4"/>
      <c r="AC306" s="4"/>
      <c r="AD306" s="4"/>
      <c r="AE306" s="25"/>
      <c r="AF306" s="4"/>
      <c r="AG306" s="4"/>
      <c r="AH306" s="4"/>
      <c r="AI306" s="4"/>
      <c r="AM306" s="26"/>
      <c r="AN306" s="26"/>
      <c r="AO306" s="26"/>
      <c r="AP306" s="26"/>
    </row>
    <row r="307" spans="1:42" ht="12.75" customHeight="1" x14ac:dyDescent="0.2">
      <c r="A307" s="5"/>
      <c r="B307" s="5"/>
      <c r="C307" s="5"/>
      <c r="E307" s="5"/>
      <c r="F307" s="5"/>
      <c r="N307" s="5"/>
      <c r="O307" s="5"/>
      <c r="X307" s="4"/>
      <c r="Y307" s="4"/>
      <c r="Z307" s="4"/>
      <c r="AA307" s="4"/>
      <c r="AB307" s="4"/>
      <c r="AC307" s="4"/>
      <c r="AD307" s="4"/>
      <c r="AE307" s="25"/>
      <c r="AF307" s="4"/>
      <c r="AG307" s="4"/>
      <c r="AH307" s="4"/>
      <c r="AI307" s="4"/>
      <c r="AM307" s="26"/>
      <c r="AN307" s="26"/>
      <c r="AO307" s="26"/>
      <c r="AP307" s="26"/>
    </row>
    <row r="308" spans="1:42" ht="12.75" customHeight="1" x14ac:dyDescent="0.2">
      <c r="A308" s="5"/>
      <c r="B308" s="5"/>
      <c r="C308" s="5"/>
      <c r="E308" s="5"/>
      <c r="F308" s="5"/>
      <c r="N308" s="5"/>
      <c r="O308" s="5"/>
      <c r="X308" s="4"/>
      <c r="Y308" s="4"/>
      <c r="Z308" s="4"/>
      <c r="AA308" s="4"/>
      <c r="AB308" s="4"/>
      <c r="AC308" s="4"/>
      <c r="AD308" s="4"/>
      <c r="AE308" s="25"/>
      <c r="AF308" s="4"/>
      <c r="AG308" s="4"/>
      <c r="AH308" s="4"/>
      <c r="AI308" s="4"/>
      <c r="AM308" s="26"/>
      <c r="AN308" s="26"/>
      <c r="AO308" s="26"/>
      <c r="AP308" s="26"/>
    </row>
    <row r="309" spans="1:42" ht="12.75" customHeight="1" x14ac:dyDescent="0.2">
      <c r="A309" s="5"/>
      <c r="B309" s="5"/>
      <c r="C309" s="5"/>
      <c r="E309" s="5"/>
      <c r="F309" s="5"/>
      <c r="N309" s="5"/>
      <c r="O309" s="5"/>
      <c r="X309" s="4"/>
      <c r="Y309" s="4"/>
      <c r="Z309" s="4"/>
      <c r="AA309" s="4"/>
      <c r="AB309" s="4"/>
      <c r="AC309" s="4"/>
      <c r="AD309" s="4"/>
      <c r="AE309" s="25"/>
      <c r="AF309" s="4"/>
      <c r="AG309" s="4"/>
      <c r="AH309" s="4"/>
      <c r="AI309" s="4"/>
      <c r="AM309" s="26"/>
      <c r="AN309" s="26"/>
      <c r="AO309" s="26"/>
      <c r="AP309" s="26"/>
    </row>
    <row r="310" spans="1:42" ht="12.75" customHeight="1" x14ac:dyDescent="0.2">
      <c r="A310" s="5"/>
      <c r="B310" s="5"/>
      <c r="C310" s="5"/>
      <c r="E310" s="5"/>
      <c r="F310" s="5"/>
      <c r="N310" s="5"/>
      <c r="O310" s="5"/>
      <c r="X310" s="4"/>
      <c r="Y310" s="4"/>
      <c r="Z310" s="4"/>
      <c r="AA310" s="4"/>
      <c r="AB310" s="4"/>
      <c r="AC310" s="4"/>
      <c r="AD310" s="4"/>
      <c r="AE310" s="25"/>
      <c r="AF310" s="4"/>
      <c r="AG310" s="4"/>
      <c r="AH310" s="4"/>
      <c r="AI310" s="4"/>
      <c r="AM310" s="26"/>
      <c r="AN310" s="26"/>
      <c r="AO310" s="26"/>
      <c r="AP310" s="26"/>
    </row>
    <row r="311" spans="1:42" ht="12.75" customHeight="1" x14ac:dyDescent="0.2">
      <c r="A311" s="5"/>
      <c r="B311" s="5"/>
      <c r="C311" s="5"/>
      <c r="E311" s="5"/>
      <c r="F311" s="5"/>
      <c r="N311" s="5"/>
      <c r="O311" s="5"/>
      <c r="X311" s="4"/>
      <c r="Y311" s="4"/>
      <c r="Z311" s="4"/>
      <c r="AA311" s="4"/>
      <c r="AB311" s="4"/>
      <c r="AC311" s="4"/>
      <c r="AD311" s="4"/>
      <c r="AE311" s="25"/>
      <c r="AF311" s="4"/>
      <c r="AG311" s="4"/>
      <c r="AH311" s="4"/>
      <c r="AI311" s="4"/>
      <c r="AM311" s="26"/>
      <c r="AN311" s="26"/>
      <c r="AO311" s="26"/>
      <c r="AP311" s="26"/>
    </row>
    <row r="312" spans="1:42" ht="12.75" customHeight="1" x14ac:dyDescent="0.2">
      <c r="A312" s="5"/>
      <c r="B312" s="5"/>
      <c r="C312" s="5"/>
      <c r="E312" s="5"/>
      <c r="F312" s="5"/>
      <c r="N312" s="5"/>
      <c r="O312" s="5"/>
      <c r="X312" s="4"/>
      <c r="Y312" s="4"/>
      <c r="Z312" s="4"/>
      <c r="AA312" s="4"/>
      <c r="AB312" s="4"/>
      <c r="AC312" s="4"/>
      <c r="AD312" s="4"/>
      <c r="AE312" s="25"/>
      <c r="AF312" s="4"/>
      <c r="AG312" s="4"/>
      <c r="AH312" s="4"/>
      <c r="AI312" s="4"/>
      <c r="AM312" s="26"/>
      <c r="AN312" s="26"/>
      <c r="AO312" s="26"/>
      <c r="AP312" s="26"/>
    </row>
    <row r="313" spans="1:42" ht="12.75" customHeight="1" x14ac:dyDescent="0.2">
      <c r="A313" s="5"/>
      <c r="B313" s="5"/>
      <c r="C313" s="5"/>
      <c r="E313" s="5"/>
      <c r="F313" s="5"/>
      <c r="N313" s="5"/>
      <c r="O313" s="5"/>
      <c r="X313" s="4"/>
      <c r="Y313" s="4"/>
      <c r="Z313" s="4"/>
      <c r="AA313" s="4"/>
      <c r="AB313" s="4"/>
      <c r="AC313" s="4"/>
      <c r="AD313" s="4"/>
      <c r="AE313" s="25"/>
      <c r="AF313" s="4"/>
      <c r="AG313" s="4"/>
      <c r="AH313" s="4"/>
      <c r="AI313" s="4"/>
      <c r="AM313" s="26"/>
      <c r="AN313" s="26"/>
      <c r="AO313" s="26"/>
      <c r="AP313" s="26"/>
    </row>
    <row r="314" spans="1:42" ht="12.75" customHeight="1" x14ac:dyDescent="0.2">
      <c r="A314" s="5"/>
      <c r="B314" s="5"/>
      <c r="C314" s="5"/>
      <c r="E314" s="5"/>
      <c r="F314" s="5"/>
      <c r="N314" s="5"/>
      <c r="O314" s="5"/>
      <c r="X314" s="4"/>
      <c r="Y314" s="4"/>
      <c r="Z314" s="4"/>
      <c r="AA314" s="4"/>
      <c r="AB314" s="4"/>
      <c r="AC314" s="4"/>
      <c r="AD314" s="4"/>
      <c r="AE314" s="25"/>
      <c r="AF314" s="4"/>
      <c r="AG314" s="4"/>
      <c r="AH314" s="4"/>
      <c r="AI314" s="4"/>
      <c r="AM314" s="26"/>
      <c r="AN314" s="26"/>
      <c r="AO314" s="26"/>
      <c r="AP314" s="26"/>
    </row>
    <row r="315" spans="1:42" ht="12.75" customHeight="1" x14ac:dyDescent="0.2">
      <c r="A315" s="5"/>
      <c r="B315" s="5"/>
      <c r="C315" s="5"/>
      <c r="E315" s="5"/>
      <c r="F315" s="5"/>
      <c r="N315" s="5"/>
      <c r="O315" s="5"/>
      <c r="X315" s="4"/>
      <c r="Y315" s="4"/>
      <c r="Z315" s="4"/>
      <c r="AA315" s="4"/>
      <c r="AB315" s="4"/>
      <c r="AC315" s="4"/>
      <c r="AD315" s="4"/>
      <c r="AE315" s="25"/>
      <c r="AF315" s="4"/>
      <c r="AG315" s="4"/>
      <c r="AH315" s="4"/>
      <c r="AI315" s="4"/>
      <c r="AM315" s="26"/>
      <c r="AN315" s="26"/>
      <c r="AO315" s="26"/>
      <c r="AP315" s="26"/>
    </row>
    <row r="316" spans="1:42" ht="12.75" customHeight="1" x14ac:dyDescent="0.2">
      <c r="A316" s="5"/>
      <c r="B316" s="5"/>
      <c r="C316" s="5"/>
      <c r="E316" s="5"/>
      <c r="F316" s="5"/>
      <c r="N316" s="5"/>
      <c r="O316" s="5"/>
      <c r="X316" s="4"/>
      <c r="Y316" s="4"/>
      <c r="Z316" s="4"/>
      <c r="AA316" s="4"/>
      <c r="AB316" s="4"/>
      <c r="AC316" s="4"/>
      <c r="AD316" s="4"/>
      <c r="AE316" s="25"/>
      <c r="AF316" s="4"/>
      <c r="AG316" s="4"/>
      <c r="AH316" s="4"/>
      <c r="AI316" s="4"/>
      <c r="AM316" s="26"/>
      <c r="AN316" s="26"/>
      <c r="AO316" s="26"/>
      <c r="AP316" s="26"/>
    </row>
    <row r="317" spans="1:42" ht="12.75" customHeight="1" x14ac:dyDescent="0.2">
      <c r="A317" s="5"/>
      <c r="B317" s="5"/>
      <c r="C317" s="5"/>
      <c r="E317" s="5"/>
      <c r="F317" s="5"/>
      <c r="N317" s="5"/>
      <c r="O317" s="5"/>
      <c r="X317" s="4"/>
      <c r="Y317" s="4"/>
      <c r="Z317" s="4"/>
      <c r="AA317" s="4"/>
      <c r="AB317" s="4"/>
      <c r="AC317" s="4"/>
      <c r="AD317" s="4"/>
      <c r="AE317" s="25"/>
      <c r="AF317" s="4"/>
      <c r="AG317" s="4"/>
      <c r="AH317" s="4"/>
      <c r="AI317" s="4"/>
      <c r="AM317" s="26"/>
      <c r="AN317" s="26"/>
      <c r="AO317" s="26"/>
      <c r="AP317" s="26"/>
    </row>
    <row r="318" spans="1:42" ht="12.75" customHeight="1" x14ac:dyDescent="0.2">
      <c r="A318" s="5"/>
      <c r="B318" s="5"/>
      <c r="C318" s="5"/>
      <c r="E318" s="5"/>
      <c r="F318" s="5"/>
      <c r="N318" s="5"/>
      <c r="O318" s="5"/>
      <c r="X318" s="4"/>
      <c r="Y318" s="4"/>
      <c r="Z318" s="4"/>
      <c r="AA318" s="4"/>
      <c r="AB318" s="4"/>
      <c r="AC318" s="4"/>
      <c r="AD318" s="4"/>
      <c r="AE318" s="25"/>
      <c r="AF318" s="4"/>
      <c r="AG318" s="4"/>
      <c r="AH318" s="4"/>
      <c r="AI318" s="4"/>
      <c r="AM318" s="26"/>
      <c r="AN318" s="26"/>
      <c r="AO318" s="26"/>
      <c r="AP318" s="26"/>
    </row>
    <row r="319" spans="1:42" ht="12.75" customHeight="1" x14ac:dyDescent="0.2">
      <c r="A319" s="5"/>
      <c r="B319" s="5"/>
      <c r="C319" s="5"/>
      <c r="E319" s="5"/>
      <c r="F319" s="5"/>
      <c r="N319" s="5"/>
      <c r="O319" s="5"/>
      <c r="X319" s="4"/>
      <c r="Y319" s="4"/>
      <c r="Z319" s="4"/>
      <c r="AA319" s="4"/>
      <c r="AB319" s="4"/>
      <c r="AC319" s="4"/>
      <c r="AD319" s="4"/>
      <c r="AE319" s="25"/>
      <c r="AF319" s="4"/>
      <c r="AG319" s="4"/>
      <c r="AH319" s="4"/>
      <c r="AI319" s="4"/>
      <c r="AM319" s="26"/>
      <c r="AN319" s="26"/>
      <c r="AO319" s="26"/>
      <c r="AP319" s="26"/>
    </row>
    <row r="320" spans="1:42" ht="12.75" customHeight="1" x14ac:dyDescent="0.2">
      <c r="A320" s="5"/>
      <c r="B320" s="5"/>
      <c r="C320" s="5"/>
      <c r="E320" s="5"/>
      <c r="F320" s="5"/>
      <c r="N320" s="5"/>
      <c r="O320" s="5"/>
      <c r="X320" s="4"/>
      <c r="Y320" s="4"/>
      <c r="Z320" s="4"/>
      <c r="AA320" s="4"/>
      <c r="AB320" s="4"/>
      <c r="AC320" s="4"/>
      <c r="AD320" s="4"/>
      <c r="AE320" s="25"/>
      <c r="AF320" s="4"/>
      <c r="AG320" s="4"/>
      <c r="AH320" s="4"/>
      <c r="AI320" s="4"/>
      <c r="AM320" s="26"/>
      <c r="AN320" s="26"/>
      <c r="AO320" s="26"/>
      <c r="AP320" s="26"/>
    </row>
    <row r="321" spans="1:42" ht="12.75" customHeight="1" x14ac:dyDescent="0.2">
      <c r="A321" s="5"/>
      <c r="B321" s="5"/>
      <c r="C321" s="5"/>
      <c r="E321" s="5"/>
      <c r="F321" s="5"/>
      <c r="N321" s="5"/>
      <c r="O321" s="5"/>
      <c r="X321" s="4"/>
      <c r="Y321" s="4"/>
      <c r="Z321" s="4"/>
      <c r="AA321" s="4"/>
      <c r="AB321" s="4"/>
      <c r="AC321" s="4"/>
      <c r="AD321" s="4"/>
      <c r="AE321" s="25"/>
      <c r="AF321" s="4"/>
      <c r="AG321" s="4"/>
      <c r="AH321" s="4"/>
      <c r="AI321" s="4"/>
      <c r="AM321" s="26"/>
      <c r="AN321" s="26"/>
      <c r="AO321" s="26"/>
      <c r="AP321" s="26"/>
    </row>
    <row r="322" spans="1:42" ht="12.75" customHeight="1" x14ac:dyDescent="0.2">
      <c r="A322" s="5"/>
      <c r="B322" s="5"/>
      <c r="C322" s="5"/>
      <c r="E322" s="5"/>
      <c r="F322" s="5"/>
      <c r="N322" s="5"/>
      <c r="O322" s="5"/>
      <c r="X322" s="4"/>
      <c r="Y322" s="4"/>
      <c r="Z322" s="4"/>
      <c r="AA322" s="4"/>
      <c r="AB322" s="4"/>
      <c r="AC322" s="4"/>
      <c r="AD322" s="4"/>
      <c r="AE322" s="25"/>
      <c r="AF322" s="4"/>
      <c r="AG322" s="4"/>
      <c r="AH322" s="4"/>
      <c r="AI322" s="4"/>
      <c r="AM322" s="26"/>
      <c r="AN322" s="26"/>
      <c r="AO322" s="26"/>
      <c r="AP322" s="26"/>
    </row>
    <row r="323" spans="1:42" ht="12.75" customHeight="1" x14ac:dyDescent="0.2">
      <c r="A323" s="5"/>
      <c r="B323" s="5"/>
      <c r="C323" s="5"/>
      <c r="E323" s="5"/>
      <c r="F323" s="5"/>
      <c r="N323" s="5"/>
      <c r="O323" s="5"/>
      <c r="X323" s="4"/>
      <c r="Y323" s="4"/>
      <c r="Z323" s="4"/>
      <c r="AA323" s="4"/>
      <c r="AB323" s="4"/>
      <c r="AC323" s="4"/>
      <c r="AD323" s="4"/>
      <c r="AE323" s="25"/>
      <c r="AF323" s="4"/>
      <c r="AG323" s="4"/>
      <c r="AH323" s="4"/>
      <c r="AI323" s="4"/>
      <c r="AM323" s="26"/>
      <c r="AN323" s="26"/>
      <c r="AO323" s="26"/>
      <c r="AP323" s="26"/>
    </row>
    <row r="324" spans="1:42" ht="12.75" customHeight="1" x14ac:dyDescent="0.2">
      <c r="A324" s="5"/>
      <c r="B324" s="5"/>
      <c r="C324" s="5"/>
      <c r="E324" s="5"/>
      <c r="F324" s="5"/>
      <c r="N324" s="5"/>
      <c r="O324" s="5"/>
      <c r="X324" s="4"/>
      <c r="Y324" s="4"/>
      <c r="Z324" s="4"/>
      <c r="AA324" s="4"/>
      <c r="AB324" s="4"/>
      <c r="AC324" s="4"/>
      <c r="AD324" s="4"/>
      <c r="AE324" s="25"/>
      <c r="AF324" s="4"/>
      <c r="AG324" s="4"/>
      <c r="AH324" s="4"/>
      <c r="AI324" s="4"/>
      <c r="AM324" s="26"/>
      <c r="AN324" s="26"/>
      <c r="AO324" s="26"/>
      <c r="AP324" s="26"/>
    </row>
    <row r="325" spans="1:42" ht="12.75" customHeight="1" x14ac:dyDescent="0.2">
      <c r="A325" s="5"/>
      <c r="B325" s="5"/>
      <c r="C325" s="5"/>
      <c r="E325" s="5"/>
      <c r="F325" s="5"/>
      <c r="N325" s="5"/>
      <c r="O325" s="5"/>
      <c r="X325" s="4"/>
      <c r="Y325" s="4"/>
      <c r="Z325" s="4"/>
      <c r="AA325" s="4"/>
      <c r="AB325" s="4"/>
      <c r="AC325" s="4"/>
      <c r="AD325" s="4"/>
      <c r="AE325" s="25"/>
      <c r="AF325" s="4"/>
      <c r="AG325" s="4"/>
      <c r="AH325" s="4"/>
      <c r="AI325" s="4"/>
      <c r="AM325" s="26"/>
      <c r="AN325" s="26"/>
      <c r="AO325" s="26"/>
      <c r="AP325" s="26"/>
    </row>
    <row r="326" spans="1:42" ht="12.75" customHeight="1" x14ac:dyDescent="0.2">
      <c r="A326" s="5"/>
      <c r="B326" s="5"/>
      <c r="C326" s="5"/>
      <c r="E326" s="5"/>
      <c r="F326" s="5"/>
      <c r="N326" s="5"/>
      <c r="O326" s="5"/>
      <c r="X326" s="4"/>
      <c r="Y326" s="4"/>
      <c r="Z326" s="4"/>
      <c r="AA326" s="4"/>
      <c r="AB326" s="4"/>
      <c r="AC326" s="4"/>
      <c r="AD326" s="4"/>
      <c r="AE326" s="25"/>
      <c r="AF326" s="4"/>
      <c r="AG326" s="4"/>
      <c r="AH326" s="4"/>
      <c r="AI326" s="4"/>
      <c r="AM326" s="26"/>
      <c r="AN326" s="26"/>
      <c r="AO326" s="26"/>
      <c r="AP326" s="26"/>
    </row>
    <row r="327" spans="1:42" ht="12.75" customHeight="1" x14ac:dyDescent="0.2">
      <c r="A327" s="5"/>
      <c r="B327" s="5"/>
      <c r="C327" s="5"/>
      <c r="E327" s="5"/>
      <c r="F327" s="5"/>
      <c r="N327" s="5"/>
      <c r="O327" s="5"/>
      <c r="X327" s="4"/>
      <c r="Y327" s="4"/>
      <c r="Z327" s="4"/>
      <c r="AA327" s="4"/>
      <c r="AB327" s="4"/>
      <c r="AC327" s="4"/>
      <c r="AD327" s="4"/>
      <c r="AE327" s="25"/>
      <c r="AF327" s="4"/>
      <c r="AG327" s="4"/>
      <c r="AH327" s="4"/>
      <c r="AI327" s="4"/>
      <c r="AM327" s="26"/>
      <c r="AN327" s="26"/>
      <c r="AO327" s="26"/>
      <c r="AP327" s="26"/>
    </row>
    <row r="328" spans="1:42" ht="12.75" customHeight="1" x14ac:dyDescent="0.2">
      <c r="A328" s="5"/>
      <c r="B328" s="5"/>
      <c r="C328" s="5"/>
      <c r="E328" s="5"/>
      <c r="F328" s="5"/>
      <c r="N328" s="5"/>
      <c r="O328" s="5"/>
      <c r="X328" s="4"/>
      <c r="Y328" s="4"/>
      <c r="Z328" s="4"/>
      <c r="AA328" s="4"/>
      <c r="AB328" s="4"/>
      <c r="AC328" s="4"/>
      <c r="AD328" s="4"/>
      <c r="AE328" s="25"/>
      <c r="AF328" s="4"/>
      <c r="AG328" s="4"/>
      <c r="AH328" s="4"/>
      <c r="AI328" s="4"/>
      <c r="AM328" s="26"/>
      <c r="AN328" s="26"/>
      <c r="AO328" s="26"/>
      <c r="AP328" s="26"/>
    </row>
    <row r="329" spans="1:42" ht="12.75" customHeight="1" x14ac:dyDescent="0.2">
      <c r="A329" s="5"/>
      <c r="B329" s="5"/>
      <c r="C329" s="5"/>
      <c r="E329" s="5"/>
      <c r="F329" s="5"/>
      <c r="N329" s="5"/>
      <c r="O329" s="5"/>
      <c r="X329" s="4"/>
      <c r="Y329" s="4"/>
      <c r="Z329" s="4"/>
      <c r="AA329" s="4"/>
      <c r="AB329" s="4"/>
      <c r="AC329" s="4"/>
      <c r="AD329" s="4"/>
      <c r="AE329" s="25"/>
      <c r="AF329" s="4"/>
      <c r="AG329" s="4"/>
      <c r="AH329" s="4"/>
      <c r="AI329" s="4"/>
      <c r="AM329" s="26"/>
      <c r="AN329" s="26"/>
      <c r="AO329" s="26"/>
      <c r="AP329" s="26"/>
    </row>
    <row r="330" spans="1:42" ht="12.75" customHeight="1" x14ac:dyDescent="0.2">
      <c r="A330" s="5"/>
      <c r="B330" s="5"/>
      <c r="C330" s="5"/>
      <c r="E330" s="5"/>
      <c r="F330" s="5"/>
      <c r="N330" s="5"/>
      <c r="O330" s="5"/>
      <c r="X330" s="4"/>
      <c r="Y330" s="4"/>
      <c r="Z330" s="4"/>
      <c r="AA330" s="4"/>
      <c r="AB330" s="4"/>
      <c r="AC330" s="4"/>
      <c r="AD330" s="4"/>
      <c r="AE330" s="25"/>
      <c r="AF330" s="4"/>
      <c r="AG330" s="4"/>
      <c r="AH330" s="4"/>
      <c r="AI330" s="4"/>
      <c r="AM330" s="26"/>
      <c r="AN330" s="26"/>
      <c r="AO330" s="26"/>
      <c r="AP330" s="26"/>
    </row>
    <row r="331" spans="1:42" ht="12.75" customHeight="1" x14ac:dyDescent="0.2">
      <c r="A331" s="5"/>
      <c r="B331" s="5"/>
      <c r="C331" s="5"/>
      <c r="E331" s="5"/>
      <c r="F331" s="5"/>
      <c r="N331" s="5"/>
      <c r="O331" s="5"/>
      <c r="X331" s="4"/>
      <c r="Y331" s="4"/>
      <c r="Z331" s="4"/>
      <c r="AA331" s="4"/>
      <c r="AB331" s="4"/>
      <c r="AC331" s="4"/>
      <c r="AD331" s="4"/>
      <c r="AE331" s="25"/>
      <c r="AF331" s="4"/>
      <c r="AG331" s="4"/>
      <c r="AH331" s="4"/>
      <c r="AI331" s="4"/>
      <c r="AM331" s="26"/>
      <c r="AN331" s="26"/>
      <c r="AO331" s="26"/>
      <c r="AP331" s="26"/>
    </row>
    <row r="332" spans="1:42" ht="12.75" customHeight="1" x14ac:dyDescent="0.2">
      <c r="A332" s="5"/>
      <c r="B332" s="5"/>
      <c r="C332" s="5"/>
      <c r="E332" s="5"/>
      <c r="F332" s="5"/>
      <c r="N332" s="5"/>
      <c r="O332" s="5"/>
      <c r="X332" s="4"/>
      <c r="Y332" s="4"/>
      <c r="Z332" s="4"/>
      <c r="AA332" s="4"/>
      <c r="AB332" s="4"/>
      <c r="AC332" s="4"/>
      <c r="AD332" s="4"/>
      <c r="AE332" s="25"/>
      <c r="AF332" s="4"/>
      <c r="AG332" s="4"/>
      <c r="AH332" s="4"/>
      <c r="AI332" s="4"/>
      <c r="AM332" s="26"/>
      <c r="AN332" s="26"/>
      <c r="AO332" s="26"/>
      <c r="AP332" s="26"/>
    </row>
    <row r="333" spans="1:42" ht="12.75" customHeight="1" x14ac:dyDescent="0.2">
      <c r="A333" s="5"/>
      <c r="B333" s="5"/>
      <c r="C333" s="5"/>
      <c r="E333" s="5"/>
      <c r="F333" s="5"/>
      <c r="N333" s="5"/>
      <c r="O333" s="5"/>
      <c r="X333" s="4"/>
      <c r="Y333" s="4"/>
      <c r="Z333" s="4"/>
      <c r="AA333" s="4"/>
      <c r="AB333" s="4"/>
      <c r="AC333" s="4"/>
      <c r="AD333" s="4"/>
      <c r="AE333" s="25"/>
      <c r="AF333" s="4"/>
      <c r="AG333" s="4"/>
      <c r="AH333" s="4"/>
      <c r="AI333" s="4"/>
      <c r="AM333" s="26"/>
      <c r="AN333" s="26"/>
      <c r="AO333" s="26"/>
      <c r="AP333" s="26"/>
    </row>
    <row r="334" spans="1:42" ht="12.75" customHeight="1" x14ac:dyDescent="0.2">
      <c r="A334" s="5"/>
      <c r="B334" s="5"/>
      <c r="C334" s="5"/>
      <c r="E334" s="5"/>
      <c r="F334" s="5"/>
      <c r="N334" s="5"/>
      <c r="O334" s="5"/>
      <c r="X334" s="4"/>
      <c r="Y334" s="4"/>
      <c r="Z334" s="4"/>
      <c r="AA334" s="4"/>
      <c r="AB334" s="4"/>
      <c r="AC334" s="4"/>
      <c r="AD334" s="4"/>
      <c r="AE334" s="25"/>
      <c r="AF334" s="4"/>
      <c r="AG334" s="4"/>
      <c r="AH334" s="4"/>
      <c r="AI334" s="4"/>
      <c r="AM334" s="26"/>
      <c r="AN334" s="26"/>
      <c r="AO334" s="26"/>
      <c r="AP334" s="26"/>
    </row>
    <row r="335" spans="1:42" ht="12.75" customHeight="1" x14ac:dyDescent="0.2">
      <c r="A335" s="5"/>
      <c r="B335" s="5"/>
      <c r="C335" s="5"/>
      <c r="E335" s="5"/>
      <c r="F335" s="5"/>
      <c r="N335" s="5"/>
      <c r="O335" s="5"/>
      <c r="X335" s="4"/>
      <c r="Y335" s="4"/>
      <c r="Z335" s="4"/>
      <c r="AA335" s="4"/>
      <c r="AB335" s="4"/>
      <c r="AC335" s="4"/>
      <c r="AD335" s="4"/>
      <c r="AE335" s="25"/>
      <c r="AF335" s="4"/>
      <c r="AG335" s="4"/>
      <c r="AH335" s="4"/>
      <c r="AI335" s="4"/>
      <c r="AM335" s="26"/>
      <c r="AN335" s="26"/>
      <c r="AO335" s="26"/>
      <c r="AP335" s="26"/>
    </row>
    <row r="336" spans="1:42" ht="12.75" customHeight="1" x14ac:dyDescent="0.2">
      <c r="A336" s="5"/>
      <c r="B336" s="5"/>
      <c r="C336" s="5"/>
      <c r="E336" s="5"/>
      <c r="F336" s="5"/>
      <c r="N336" s="5"/>
      <c r="O336" s="5"/>
      <c r="X336" s="4"/>
      <c r="Y336" s="4"/>
      <c r="Z336" s="4"/>
      <c r="AA336" s="4"/>
      <c r="AB336" s="4"/>
      <c r="AC336" s="4"/>
      <c r="AD336" s="4"/>
      <c r="AE336" s="25"/>
      <c r="AF336" s="4"/>
      <c r="AG336" s="4"/>
      <c r="AH336" s="4"/>
      <c r="AI336" s="4"/>
      <c r="AM336" s="26"/>
      <c r="AN336" s="26"/>
      <c r="AO336" s="26"/>
      <c r="AP336" s="26"/>
    </row>
    <row r="337" spans="1:42" ht="12.75" customHeight="1" x14ac:dyDescent="0.2">
      <c r="A337" s="5"/>
      <c r="B337" s="5"/>
      <c r="C337" s="5"/>
      <c r="E337" s="5"/>
      <c r="F337" s="5"/>
      <c r="N337" s="5"/>
      <c r="O337" s="5"/>
      <c r="X337" s="4"/>
      <c r="Y337" s="4"/>
      <c r="Z337" s="4"/>
      <c r="AA337" s="4"/>
      <c r="AB337" s="4"/>
      <c r="AC337" s="4"/>
      <c r="AD337" s="4"/>
      <c r="AE337" s="25"/>
      <c r="AF337" s="4"/>
      <c r="AG337" s="4"/>
      <c r="AH337" s="4"/>
      <c r="AI337" s="4"/>
      <c r="AM337" s="26"/>
      <c r="AN337" s="26"/>
      <c r="AO337" s="26"/>
      <c r="AP337" s="26"/>
    </row>
    <row r="338" spans="1:42" ht="12.75" customHeight="1" x14ac:dyDescent="0.2">
      <c r="A338" s="5"/>
      <c r="B338" s="5"/>
      <c r="C338" s="5"/>
      <c r="E338" s="5"/>
      <c r="F338" s="5"/>
      <c r="N338" s="5"/>
      <c r="O338" s="5"/>
      <c r="X338" s="4"/>
      <c r="Y338" s="4"/>
      <c r="Z338" s="4"/>
      <c r="AA338" s="4"/>
      <c r="AB338" s="4"/>
      <c r="AC338" s="4"/>
      <c r="AD338" s="4"/>
      <c r="AE338" s="25"/>
      <c r="AF338" s="4"/>
      <c r="AG338" s="4"/>
      <c r="AH338" s="4"/>
      <c r="AI338" s="4"/>
      <c r="AM338" s="26"/>
      <c r="AN338" s="26"/>
      <c r="AO338" s="26"/>
      <c r="AP338" s="26"/>
    </row>
    <row r="339" spans="1:42" ht="12.75" customHeight="1" x14ac:dyDescent="0.2">
      <c r="A339" s="5"/>
      <c r="B339" s="5"/>
      <c r="C339" s="5"/>
      <c r="E339" s="5"/>
      <c r="F339" s="5"/>
      <c r="N339" s="5"/>
      <c r="O339" s="5"/>
      <c r="X339" s="4"/>
      <c r="Y339" s="4"/>
      <c r="Z339" s="4"/>
      <c r="AA339" s="4"/>
      <c r="AB339" s="4"/>
      <c r="AC339" s="4"/>
      <c r="AD339" s="4"/>
      <c r="AE339" s="25"/>
      <c r="AF339" s="4"/>
      <c r="AG339" s="4"/>
      <c r="AH339" s="4"/>
      <c r="AI339" s="4"/>
      <c r="AM339" s="26"/>
      <c r="AN339" s="26"/>
      <c r="AO339" s="26"/>
      <c r="AP339" s="26"/>
    </row>
    <row r="340" spans="1:42" ht="12.75" customHeight="1" x14ac:dyDescent="0.2">
      <c r="A340" s="5"/>
      <c r="B340" s="5"/>
      <c r="C340" s="5"/>
      <c r="E340" s="5"/>
      <c r="F340" s="5"/>
      <c r="N340" s="5"/>
      <c r="O340" s="5"/>
      <c r="X340" s="4"/>
      <c r="Y340" s="4"/>
      <c r="Z340" s="4"/>
      <c r="AA340" s="4"/>
      <c r="AB340" s="4"/>
      <c r="AC340" s="4"/>
      <c r="AD340" s="4"/>
      <c r="AE340" s="25"/>
      <c r="AF340" s="4"/>
      <c r="AG340" s="4"/>
      <c r="AH340" s="4"/>
      <c r="AI340" s="4"/>
      <c r="AM340" s="26"/>
      <c r="AN340" s="26"/>
      <c r="AO340" s="26"/>
      <c r="AP340" s="26"/>
    </row>
    <row r="341" spans="1:42" ht="12.75" customHeight="1" x14ac:dyDescent="0.2">
      <c r="A341" s="5"/>
      <c r="B341" s="5"/>
      <c r="C341" s="5"/>
      <c r="E341" s="5"/>
      <c r="F341" s="5"/>
      <c r="N341" s="5"/>
      <c r="O341" s="5"/>
      <c r="X341" s="4"/>
      <c r="Y341" s="4"/>
      <c r="Z341" s="4"/>
      <c r="AA341" s="4"/>
      <c r="AB341" s="4"/>
      <c r="AC341" s="4"/>
      <c r="AD341" s="4"/>
      <c r="AE341" s="25"/>
      <c r="AF341" s="4"/>
      <c r="AG341" s="4"/>
      <c r="AH341" s="4"/>
      <c r="AI341" s="4"/>
      <c r="AM341" s="26"/>
      <c r="AN341" s="26"/>
      <c r="AO341" s="26"/>
      <c r="AP341" s="26"/>
    </row>
    <row r="342" spans="1:42" ht="12.75" customHeight="1" x14ac:dyDescent="0.2">
      <c r="A342" s="5"/>
      <c r="B342" s="5"/>
      <c r="C342" s="5"/>
      <c r="E342" s="5"/>
      <c r="F342" s="5"/>
      <c r="N342" s="5"/>
      <c r="O342" s="5"/>
      <c r="X342" s="4"/>
      <c r="Y342" s="4"/>
      <c r="Z342" s="4"/>
      <c r="AA342" s="4"/>
      <c r="AB342" s="4"/>
      <c r="AC342" s="4"/>
      <c r="AD342" s="4"/>
      <c r="AE342" s="25"/>
      <c r="AF342" s="4"/>
      <c r="AG342" s="4"/>
      <c r="AH342" s="4"/>
      <c r="AI342" s="4"/>
      <c r="AM342" s="26"/>
      <c r="AN342" s="26"/>
      <c r="AO342" s="26"/>
      <c r="AP342" s="26"/>
    </row>
    <row r="343" spans="1:42" ht="12.75" customHeight="1" x14ac:dyDescent="0.2">
      <c r="A343" s="5"/>
      <c r="B343" s="5"/>
      <c r="C343" s="5"/>
      <c r="E343" s="5"/>
      <c r="F343" s="5"/>
      <c r="N343" s="5"/>
      <c r="O343" s="5"/>
      <c r="X343" s="4"/>
      <c r="Y343" s="4"/>
      <c r="Z343" s="4"/>
      <c r="AA343" s="4"/>
      <c r="AB343" s="4"/>
      <c r="AC343" s="4"/>
      <c r="AD343" s="4"/>
      <c r="AE343" s="25"/>
      <c r="AF343" s="4"/>
      <c r="AG343" s="4"/>
      <c r="AH343" s="4"/>
      <c r="AI343" s="4"/>
      <c r="AM343" s="26"/>
      <c r="AN343" s="26"/>
      <c r="AO343" s="26"/>
      <c r="AP343" s="26"/>
    </row>
    <row r="344" spans="1:42" ht="12.75" customHeight="1" x14ac:dyDescent="0.2">
      <c r="A344" s="5"/>
      <c r="B344" s="5"/>
      <c r="C344" s="5"/>
      <c r="E344" s="5"/>
      <c r="F344" s="5"/>
      <c r="N344" s="5"/>
      <c r="O344" s="5"/>
      <c r="X344" s="4"/>
      <c r="Y344" s="4"/>
      <c r="Z344" s="4"/>
      <c r="AA344" s="4"/>
      <c r="AB344" s="4"/>
      <c r="AC344" s="4"/>
      <c r="AD344" s="4"/>
      <c r="AE344" s="25"/>
      <c r="AF344" s="4"/>
      <c r="AG344" s="4"/>
      <c r="AH344" s="4"/>
      <c r="AI344" s="4"/>
      <c r="AM344" s="26"/>
      <c r="AN344" s="26"/>
      <c r="AO344" s="26"/>
      <c r="AP344" s="26"/>
    </row>
    <row r="345" spans="1:42" ht="12.75" customHeight="1" x14ac:dyDescent="0.2">
      <c r="A345" s="5"/>
      <c r="B345" s="5"/>
      <c r="C345" s="5"/>
      <c r="E345" s="5"/>
      <c r="F345" s="5"/>
      <c r="N345" s="5"/>
      <c r="O345" s="5"/>
      <c r="X345" s="4"/>
      <c r="Y345" s="4"/>
      <c r="Z345" s="4"/>
      <c r="AA345" s="4"/>
      <c r="AB345" s="4"/>
      <c r="AC345" s="4"/>
      <c r="AD345" s="4"/>
      <c r="AE345" s="25"/>
      <c r="AF345" s="4"/>
      <c r="AG345" s="4"/>
      <c r="AH345" s="4"/>
      <c r="AI345" s="4"/>
      <c r="AM345" s="26"/>
      <c r="AN345" s="26"/>
      <c r="AO345" s="26"/>
      <c r="AP345" s="26"/>
    </row>
    <row r="346" spans="1:42" ht="12.75" customHeight="1" x14ac:dyDescent="0.2">
      <c r="A346" s="5"/>
      <c r="B346" s="5"/>
      <c r="C346" s="5"/>
      <c r="E346" s="5"/>
      <c r="F346" s="5"/>
      <c r="N346" s="5"/>
      <c r="O346" s="5"/>
      <c r="X346" s="4"/>
      <c r="Y346" s="4"/>
      <c r="Z346" s="4"/>
      <c r="AA346" s="4"/>
      <c r="AB346" s="4"/>
      <c r="AC346" s="4"/>
      <c r="AD346" s="4"/>
      <c r="AE346" s="25"/>
      <c r="AF346" s="4"/>
      <c r="AG346" s="4"/>
      <c r="AH346" s="4"/>
      <c r="AI346" s="4"/>
      <c r="AM346" s="26"/>
      <c r="AN346" s="26"/>
      <c r="AO346" s="26"/>
      <c r="AP346" s="26"/>
    </row>
    <row r="347" spans="1:42" ht="12.75" customHeight="1" x14ac:dyDescent="0.2">
      <c r="A347" s="5"/>
      <c r="B347" s="5"/>
      <c r="C347" s="5"/>
      <c r="E347" s="5"/>
      <c r="F347" s="5"/>
      <c r="N347" s="5"/>
      <c r="O347" s="5"/>
      <c r="X347" s="4"/>
      <c r="Y347" s="4"/>
      <c r="Z347" s="4"/>
      <c r="AA347" s="4"/>
      <c r="AB347" s="4"/>
      <c r="AC347" s="4"/>
      <c r="AD347" s="4"/>
      <c r="AE347" s="25"/>
      <c r="AF347" s="4"/>
      <c r="AG347" s="4"/>
      <c r="AH347" s="4"/>
      <c r="AI347" s="4"/>
      <c r="AM347" s="26"/>
      <c r="AN347" s="26"/>
      <c r="AO347" s="26"/>
      <c r="AP347" s="26"/>
    </row>
    <row r="348" spans="1:42" ht="12.75" customHeight="1" x14ac:dyDescent="0.2">
      <c r="A348" s="5"/>
      <c r="B348" s="5"/>
      <c r="C348" s="5"/>
      <c r="E348" s="5"/>
      <c r="F348" s="5"/>
      <c r="N348" s="5"/>
      <c r="O348" s="5"/>
      <c r="X348" s="4"/>
      <c r="Y348" s="4"/>
      <c r="Z348" s="4"/>
      <c r="AA348" s="4"/>
      <c r="AB348" s="4"/>
      <c r="AC348" s="4"/>
      <c r="AD348" s="4"/>
      <c r="AE348" s="25"/>
      <c r="AF348" s="4"/>
      <c r="AG348" s="4"/>
      <c r="AH348" s="4"/>
      <c r="AI348" s="4"/>
      <c r="AM348" s="26"/>
      <c r="AN348" s="26"/>
      <c r="AO348" s="26"/>
      <c r="AP348" s="26"/>
    </row>
    <row r="349" spans="1:42" ht="12.75" customHeight="1" x14ac:dyDescent="0.2">
      <c r="A349" s="5"/>
      <c r="B349" s="5"/>
      <c r="C349" s="5"/>
      <c r="E349" s="5"/>
      <c r="F349" s="5"/>
      <c r="N349" s="5"/>
      <c r="O349" s="5"/>
      <c r="X349" s="4"/>
      <c r="Y349" s="4"/>
      <c r="Z349" s="4"/>
      <c r="AA349" s="4"/>
      <c r="AB349" s="4"/>
      <c r="AC349" s="4"/>
      <c r="AD349" s="4"/>
      <c r="AE349" s="25"/>
      <c r="AF349" s="4"/>
      <c r="AG349" s="4"/>
      <c r="AH349" s="4"/>
      <c r="AI349" s="4"/>
      <c r="AM349" s="26"/>
      <c r="AN349" s="26"/>
      <c r="AO349" s="26"/>
      <c r="AP349" s="26"/>
    </row>
    <row r="350" spans="1:42" ht="12.75" customHeight="1" x14ac:dyDescent="0.2">
      <c r="A350" s="5"/>
      <c r="B350" s="5"/>
      <c r="C350" s="5"/>
      <c r="E350" s="5"/>
      <c r="F350" s="5"/>
      <c r="N350" s="5"/>
      <c r="O350" s="5"/>
      <c r="X350" s="4"/>
      <c r="Y350" s="4"/>
      <c r="Z350" s="4"/>
      <c r="AA350" s="4"/>
      <c r="AB350" s="4"/>
      <c r="AC350" s="4"/>
      <c r="AD350" s="4"/>
      <c r="AE350" s="25"/>
      <c r="AF350" s="4"/>
      <c r="AG350" s="4"/>
      <c r="AH350" s="4"/>
      <c r="AI350" s="4"/>
      <c r="AM350" s="26"/>
      <c r="AN350" s="26"/>
      <c r="AO350" s="26"/>
      <c r="AP350" s="26"/>
    </row>
    <row r="351" spans="1:42" ht="12.75" customHeight="1" x14ac:dyDescent="0.2">
      <c r="A351" s="5"/>
      <c r="B351" s="5"/>
      <c r="C351" s="5"/>
      <c r="E351" s="5"/>
      <c r="F351" s="5"/>
      <c r="N351" s="5"/>
      <c r="O351" s="5"/>
      <c r="X351" s="4"/>
      <c r="Y351" s="4"/>
      <c r="Z351" s="4"/>
      <c r="AA351" s="4"/>
      <c r="AB351" s="4"/>
      <c r="AC351" s="4"/>
      <c r="AD351" s="4"/>
      <c r="AE351" s="25"/>
      <c r="AF351" s="4"/>
      <c r="AG351" s="4"/>
      <c r="AH351" s="4"/>
      <c r="AI351" s="4"/>
      <c r="AM351" s="26"/>
      <c r="AN351" s="26"/>
      <c r="AO351" s="26"/>
      <c r="AP351" s="26"/>
    </row>
    <row r="352" spans="1:42" ht="12.75" customHeight="1" x14ac:dyDescent="0.2">
      <c r="A352" s="5"/>
      <c r="B352" s="5"/>
      <c r="C352" s="5"/>
      <c r="E352" s="5"/>
      <c r="F352" s="5"/>
      <c r="N352" s="5"/>
      <c r="O352" s="5"/>
      <c r="X352" s="4"/>
      <c r="Y352" s="4"/>
      <c r="Z352" s="4"/>
      <c r="AA352" s="4"/>
      <c r="AB352" s="4"/>
      <c r="AC352" s="4"/>
      <c r="AD352" s="4"/>
      <c r="AE352" s="25"/>
      <c r="AF352" s="4"/>
      <c r="AG352" s="4"/>
      <c r="AH352" s="4"/>
      <c r="AI352" s="4"/>
      <c r="AM352" s="26"/>
      <c r="AN352" s="26"/>
      <c r="AO352" s="26"/>
      <c r="AP352" s="26"/>
    </row>
    <row r="353" spans="1:42" ht="12.75" customHeight="1" x14ac:dyDescent="0.2">
      <c r="A353" s="5"/>
      <c r="B353" s="5"/>
      <c r="C353" s="5"/>
      <c r="E353" s="5"/>
      <c r="F353" s="5"/>
      <c r="N353" s="5"/>
      <c r="O353" s="5"/>
      <c r="X353" s="4"/>
      <c r="Y353" s="4"/>
      <c r="Z353" s="4"/>
      <c r="AA353" s="4"/>
      <c r="AB353" s="4"/>
      <c r="AC353" s="4"/>
      <c r="AD353" s="4"/>
      <c r="AE353" s="25"/>
      <c r="AF353" s="4"/>
      <c r="AG353" s="4"/>
      <c r="AH353" s="4"/>
      <c r="AI353" s="4"/>
      <c r="AM353" s="26"/>
      <c r="AN353" s="26"/>
      <c r="AO353" s="26"/>
      <c r="AP353" s="26"/>
    </row>
    <row r="354" spans="1:42" ht="12.75" customHeight="1" x14ac:dyDescent="0.2">
      <c r="A354" s="5"/>
      <c r="B354" s="5"/>
      <c r="C354" s="5"/>
      <c r="E354" s="5"/>
      <c r="F354" s="5"/>
      <c r="N354" s="5"/>
      <c r="O354" s="5"/>
      <c r="X354" s="4"/>
      <c r="Y354" s="4"/>
      <c r="Z354" s="4"/>
      <c r="AA354" s="4"/>
      <c r="AB354" s="4"/>
      <c r="AC354" s="4"/>
      <c r="AD354" s="4"/>
      <c r="AE354" s="25"/>
      <c r="AF354" s="4"/>
      <c r="AG354" s="4"/>
      <c r="AH354" s="4"/>
      <c r="AI354" s="4"/>
      <c r="AM354" s="26"/>
      <c r="AN354" s="26"/>
      <c r="AO354" s="26"/>
      <c r="AP354" s="26"/>
    </row>
    <row r="355" spans="1:42" ht="12.75" customHeight="1" x14ac:dyDescent="0.2">
      <c r="A355" s="5"/>
      <c r="B355" s="5"/>
      <c r="C355" s="5"/>
      <c r="E355" s="5"/>
      <c r="F355" s="5"/>
      <c r="N355" s="5"/>
      <c r="O355" s="5"/>
      <c r="X355" s="4"/>
      <c r="Y355" s="4"/>
      <c r="Z355" s="4"/>
      <c r="AA355" s="4"/>
      <c r="AB355" s="4"/>
      <c r="AC355" s="4"/>
      <c r="AD355" s="4"/>
      <c r="AE355" s="25"/>
      <c r="AF355" s="4"/>
      <c r="AG355" s="4"/>
      <c r="AH355" s="4"/>
      <c r="AI355" s="4"/>
      <c r="AM355" s="26"/>
      <c r="AN355" s="26"/>
      <c r="AO355" s="26"/>
      <c r="AP355" s="26"/>
    </row>
    <row r="356" spans="1:42" ht="12.75" customHeight="1" x14ac:dyDescent="0.2">
      <c r="A356" s="5"/>
      <c r="B356" s="5"/>
      <c r="C356" s="5"/>
      <c r="E356" s="5"/>
      <c r="F356" s="5"/>
      <c r="N356" s="5"/>
      <c r="O356" s="5"/>
      <c r="X356" s="4"/>
      <c r="Y356" s="4"/>
      <c r="Z356" s="4"/>
      <c r="AA356" s="4"/>
      <c r="AB356" s="4"/>
      <c r="AC356" s="4"/>
      <c r="AD356" s="4"/>
      <c r="AE356" s="25"/>
      <c r="AF356" s="4"/>
      <c r="AG356" s="4"/>
      <c r="AH356" s="4"/>
      <c r="AI356" s="4"/>
      <c r="AM356" s="26"/>
      <c r="AN356" s="26"/>
      <c r="AO356" s="26"/>
      <c r="AP356" s="26"/>
    </row>
    <row r="357" spans="1:42" ht="12.75" customHeight="1" x14ac:dyDescent="0.2">
      <c r="A357" s="5"/>
      <c r="B357" s="5"/>
      <c r="C357" s="5"/>
      <c r="E357" s="5"/>
      <c r="F357" s="5"/>
      <c r="N357" s="5"/>
      <c r="O357" s="5"/>
      <c r="X357" s="4"/>
      <c r="Y357" s="4"/>
      <c r="Z357" s="4"/>
      <c r="AA357" s="4"/>
      <c r="AB357" s="4"/>
      <c r="AC357" s="4"/>
      <c r="AD357" s="4"/>
      <c r="AE357" s="25"/>
      <c r="AF357" s="4"/>
      <c r="AG357" s="4"/>
      <c r="AH357" s="4"/>
      <c r="AI357" s="4"/>
      <c r="AM357" s="26"/>
      <c r="AN357" s="26"/>
      <c r="AO357" s="26"/>
      <c r="AP357" s="26"/>
    </row>
    <row r="358" spans="1:42" ht="12.75" customHeight="1" x14ac:dyDescent="0.2">
      <c r="A358" s="5"/>
      <c r="B358" s="5"/>
      <c r="C358" s="5"/>
      <c r="E358" s="5"/>
      <c r="F358" s="5"/>
      <c r="N358" s="5"/>
      <c r="O358" s="5"/>
      <c r="X358" s="4"/>
      <c r="Y358" s="4"/>
      <c r="Z358" s="4"/>
      <c r="AA358" s="4"/>
      <c r="AB358" s="4"/>
      <c r="AC358" s="4"/>
      <c r="AD358" s="4"/>
      <c r="AE358" s="25"/>
      <c r="AF358" s="4"/>
      <c r="AG358" s="4"/>
      <c r="AH358" s="4"/>
      <c r="AI358" s="4"/>
      <c r="AM358" s="26"/>
      <c r="AN358" s="26"/>
      <c r="AO358" s="26"/>
      <c r="AP358" s="26"/>
    </row>
    <row r="359" spans="1:42" ht="12.75" customHeight="1" x14ac:dyDescent="0.2">
      <c r="A359" s="5"/>
      <c r="B359" s="5"/>
      <c r="C359" s="5"/>
      <c r="E359" s="5"/>
      <c r="F359" s="5"/>
      <c r="N359" s="5"/>
      <c r="O359" s="5"/>
      <c r="X359" s="4"/>
      <c r="Y359" s="4"/>
      <c r="Z359" s="4"/>
      <c r="AA359" s="4"/>
      <c r="AB359" s="4"/>
      <c r="AC359" s="4"/>
      <c r="AD359" s="4"/>
      <c r="AE359" s="25"/>
      <c r="AF359" s="4"/>
      <c r="AG359" s="4"/>
      <c r="AH359" s="4"/>
      <c r="AI359" s="4"/>
      <c r="AM359" s="26"/>
      <c r="AN359" s="26"/>
      <c r="AO359" s="26"/>
      <c r="AP359" s="26"/>
    </row>
    <row r="360" spans="1:42" ht="12.75" customHeight="1" x14ac:dyDescent="0.2">
      <c r="A360" s="5"/>
      <c r="B360" s="5"/>
      <c r="C360" s="5"/>
      <c r="E360" s="5"/>
      <c r="F360" s="5"/>
      <c r="N360" s="5"/>
      <c r="O360" s="5"/>
      <c r="X360" s="4"/>
      <c r="Y360" s="4"/>
      <c r="Z360" s="4"/>
      <c r="AA360" s="4"/>
      <c r="AB360" s="4"/>
      <c r="AC360" s="4"/>
      <c r="AD360" s="4"/>
      <c r="AE360" s="25"/>
      <c r="AF360" s="4"/>
      <c r="AG360" s="4"/>
      <c r="AH360" s="4"/>
      <c r="AI360" s="4"/>
      <c r="AM360" s="26"/>
      <c r="AN360" s="26"/>
      <c r="AO360" s="26"/>
      <c r="AP360" s="26"/>
    </row>
    <row r="361" spans="1:42" ht="12.75" customHeight="1" x14ac:dyDescent="0.2">
      <c r="A361" s="5"/>
      <c r="B361" s="5"/>
      <c r="C361" s="5"/>
      <c r="E361" s="5"/>
      <c r="F361" s="5"/>
      <c r="N361" s="5"/>
      <c r="O361" s="5"/>
      <c r="X361" s="4"/>
      <c r="Y361" s="4"/>
      <c r="Z361" s="4"/>
      <c r="AA361" s="4"/>
      <c r="AB361" s="4"/>
      <c r="AC361" s="4"/>
      <c r="AD361" s="4"/>
      <c r="AE361" s="25"/>
      <c r="AF361" s="4"/>
      <c r="AG361" s="4"/>
      <c r="AH361" s="4"/>
      <c r="AI361" s="4"/>
      <c r="AM361" s="26"/>
      <c r="AN361" s="26"/>
      <c r="AO361" s="26"/>
      <c r="AP361" s="26"/>
    </row>
    <row r="362" spans="1:42" ht="12.75" customHeight="1" x14ac:dyDescent="0.2">
      <c r="A362" s="5"/>
      <c r="B362" s="5"/>
      <c r="C362" s="5"/>
      <c r="E362" s="5"/>
      <c r="F362" s="5"/>
      <c r="N362" s="5"/>
      <c r="O362" s="5"/>
      <c r="X362" s="4"/>
      <c r="Y362" s="4"/>
      <c r="Z362" s="4"/>
      <c r="AA362" s="4"/>
      <c r="AB362" s="4"/>
      <c r="AC362" s="4"/>
      <c r="AD362" s="4"/>
      <c r="AE362" s="25"/>
      <c r="AF362" s="4"/>
      <c r="AG362" s="4"/>
      <c r="AH362" s="4"/>
      <c r="AI362" s="4"/>
      <c r="AM362" s="26"/>
      <c r="AN362" s="26"/>
      <c r="AO362" s="26"/>
      <c r="AP362" s="26"/>
    </row>
    <row r="363" spans="1:42" ht="12.75" customHeight="1" x14ac:dyDescent="0.2">
      <c r="A363" s="5"/>
      <c r="B363" s="5"/>
      <c r="C363" s="5"/>
      <c r="E363" s="5"/>
      <c r="F363" s="5"/>
      <c r="N363" s="5"/>
      <c r="O363" s="5"/>
      <c r="X363" s="4"/>
      <c r="Y363" s="4"/>
      <c r="Z363" s="4"/>
      <c r="AA363" s="4"/>
      <c r="AB363" s="4"/>
      <c r="AC363" s="4"/>
      <c r="AD363" s="4"/>
      <c r="AE363" s="25"/>
      <c r="AF363" s="4"/>
      <c r="AG363" s="4"/>
      <c r="AH363" s="4"/>
      <c r="AI363" s="4"/>
      <c r="AM363" s="26"/>
      <c r="AN363" s="26"/>
      <c r="AO363" s="26"/>
      <c r="AP363" s="26"/>
    </row>
    <row r="364" spans="1:42" ht="12.75" customHeight="1" x14ac:dyDescent="0.2">
      <c r="A364" s="5"/>
      <c r="B364" s="5"/>
      <c r="C364" s="5"/>
      <c r="E364" s="5"/>
      <c r="F364" s="5"/>
      <c r="N364" s="5"/>
      <c r="O364" s="5"/>
      <c r="X364" s="4"/>
      <c r="Y364" s="4"/>
      <c r="Z364" s="4"/>
      <c r="AA364" s="4"/>
      <c r="AB364" s="4"/>
      <c r="AC364" s="4"/>
      <c r="AD364" s="4"/>
      <c r="AE364" s="25"/>
      <c r="AF364" s="4"/>
      <c r="AG364" s="4"/>
      <c r="AH364" s="4"/>
      <c r="AI364" s="4"/>
      <c r="AM364" s="26"/>
      <c r="AN364" s="26"/>
      <c r="AO364" s="26"/>
      <c r="AP364" s="26"/>
    </row>
    <row r="365" spans="1:42" ht="12.75" customHeight="1" x14ac:dyDescent="0.2">
      <c r="A365" s="5"/>
      <c r="B365" s="5"/>
      <c r="C365" s="5"/>
      <c r="E365" s="5"/>
      <c r="F365" s="5"/>
      <c r="N365" s="5"/>
      <c r="O365" s="5"/>
      <c r="X365" s="4"/>
      <c r="Y365" s="4"/>
      <c r="Z365" s="4"/>
      <c r="AA365" s="4"/>
      <c r="AB365" s="4"/>
      <c r="AC365" s="4"/>
      <c r="AD365" s="4"/>
      <c r="AE365" s="25"/>
      <c r="AF365" s="4"/>
      <c r="AG365" s="4"/>
      <c r="AH365" s="4"/>
      <c r="AI365" s="4"/>
      <c r="AM365" s="26"/>
      <c r="AN365" s="26"/>
      <c r="AO365" s="26"/>
      <c r="AP365" s="26"/>
    </row>
    <row r="366" spans="1:42" ht="12.75" customHeight="1" x14ac:dyDescent="0.2">
      <c r="A366" s="5"/>
      <c r="B366" s="5"/>
      <c r="C366" s="5"/>
      <c r="E366" s="5"/>
      <c r="F366" s="5"/>
      <c r="N366" s="5"/>
      <c r="O366" s="5"/>
      <c r="X366" s="4"/>
      <c r="Y366" s="4"/>
      <c r="Z366" s="4"/>
      <c r="AA366" s="4"/>
      <c r="AB366" s="4"/>
      <c r="AC366" s="4"/>
      <c r="AD366" s="4"/>
      <c r="AE366" s="25"/>
      <c r="AF366" s="4"/>
      <c r="AG366" s="4"/>
      <c r="AH366" s="4"/>
      <c r="AI366" s="4"/>
      <c r="AM366" s="26"/>
      <c r="AN366" s="26"/>
      <c r="AO366" s="26"/>
      <c r="AP366" s="26"/>
    </row>
    <row r="367" spans="1:42" ht="12.75" customHeight="1" x14ac:dyDescent="0.2">
      <c r="A367" s="5"/>
      <c r="B367" s="5"/>
      <c r="C367" s="5"/>
      <c r="E367" s="5"/>
      <c r="F367" s="5"/>
      <c r="N367" s="5"/>
      <c r="O367" s="5"/>
      <c r="X367" s="4"/>
      <c r="Y367" s="4"/>
      <c r="Z367" s="4"/>
      <c r="AA367" s="4"/>
      <c r="AB367" s="4"/>
      <c r="AC367" s="4"/>
      <c r="AD367" s="4"/>
      <c r="AE367" s="25"/>
      <c r="AF367" s="4"/>
      <c r="AG367" s="4"/>
      <c r="AH367" s="4"/>
      <c r="AI367" s="4"/>
      <c r="AM367" s="26"/>
      <c r="AN367" s="26"/>
      <c r="AO367" s="26"/>
      <c r="AP367" s="26"/>
    </row>
    <row r="368" spans="1:42" ht="12.75" customHeight="1" x14ac:dyDescent="0.2">
      <c r="A368" s="5"/>
      <c r="B368" s="5"/>
      <c r="C368" s="5"/>
      <c r="E368" s="5"/>
      <c r="F368" s="5"/>
      <c r="N368" s="5"/>
      <c r="O368" s="5"/>
      <c r="X368" s="4"/>
      <c r="Y368" s="4"/>
      <c r="Z368" s="4"/>
      <c r="AA368" s="4"/>
      <c r="AB368" s="4"/>
      <c r="AC368" s="4"/>
      <c r="AD368" s="4"/>
      <c r="AE368" s="25"/>
      <c r="AF368" s="4"/>
      <c r="AG368" s="4"/>
      <c r="AH368" s="4"/>
      <c r="AI368" s="4"/>
      <c r="AM368" s="26"/>
      <c r="AN368" s="26"/>
      <c r="AO368" s="26"/>
      <c r="AP368" s="26"/>
    </row>
    <row r="369" spans="1:42" ht="12.75" customHeight="1" x14ac:dyDescent="0.2">
      <c r="A369" s="5"/>
      <c r="B369" s="5"/>
      <c r="C369" s="5"/>
      <c r="E369" s="5"/>
      <c r="F369" s="5"/>
      <c r="N369" s="5"/>
      <c r="O369" s="5"/>
      <c r="X369" s="4"/>
      <c r="Y369" s="4"/>
      <c r="Z369" s="4"/>
      <c r="AA369" s="4"/>
      <c r="AB369" s="4"/>
      <c r="AC369" s="4"/>
      <c r="AD369" s="4"/>
      <c r="AE369" s="25"/>
      <c r="AF369" s="4"/>
      <c r="AG369" s="4"/>
      <c r="AH369" s="4"/>
      <c r="AI369" s="4"/>
      <c r="AM369" s="26"/>
      <c r="AN369" s="26"/>
      <c r="AO369" s="26"/>
      <c r="AP369" s="26"/>
    </row>
    <row r="370" spans="1:42" ht="12.75" customHeight="1" x14ac:dyDescent="0.2">
      <c r="A370" s="5"/>
      <c r="B370" s="5"/>
      <c r="C370" s="5"/>
      <c r="E370" s="5"/>
      <c r="F370" s="5"/>
      <c r="N370" s="5"/>
      <c r="O370" s="5"/>
      <c r="X370" s="4"/>
      <c r="Y370" s="4"/>
      <c r="Z370" s="4"/>
      <c r="AA370" s="4"/>
      <c r="AB370" s="4"/>
      <c r="AC370" s="4"/>
      <c r="AD370" s="4"/>
      <c r="AE370" s="25"/>
      <c r="AF370" s="4"/>
      <c r="AG370" s="4"/>
      <c r="AH370" s="4"/>
      <c r="AI370" s="4"/>
      <c r="AM370" s="26"/>
      <c r="AN370" s="26"/>
      <c r="AO370" s="26"/>
      <c r="AP370" s="26"/>
    </row>
    <row r="371" spans="1:42" ht="12.75" customHeight="1" x14ac:dyDescent="0.2">
      <c r="A371" s="5"/>
      <c r="B371" s="5"/>
      <c r="C371" s="5"/>
      <c r="E371" s="5"/>
      <c r="F371" s="5"/>
      <c r="N371" s="5"/>
      <c r="O371" s="5"/>
      <c r="X371" s="4"/>
      <c r="Y371" s="4"/>
      <c r="Z371" s="4"/>
      <c r="AA371" s="4"/>
      <c r="AB371" s="4"/>
      <c r="AC371" s="4"/>
      <c r="AD371" s="4"/>
      <c r="AE371" s="25"/>
      <c r="AF371" s="4"/>
      <c r="AG371" s="4"/>
      <c r="AH371" s="4"/>
      <c r="AI371" s="4"/>
      <c r="AM371" s="26"/>
      <c r="AN371" s="26"/>
      <c r="AO371" s="26"/>
      <c r="AP371" s="26"/>
    </row>
    <row r="372" spans="1:42" ht="12.75" customHeight="1" x14ac:dyDescent="0.2">
      <c r="A372" s="5"/>
      <c r="B372" s="5"/>
      <c r="C372" s="5"/>
      <c r="E372" s="5"/>
      <c r="F372" s="5"/>
      <c r="N372" s="5"/>
      <c r="O372" s="5"/>
      <c r="X372" s="4"/>
      <c r="Y372" s="4"/>
      <c r="Z372" s="4"/>
      <c r="AA372" s="4"/>
      <c r="AB372" s="4"/>
      <c r="AC372" s="4"/>
      <c r="AD372" s="4"/>
      <c r="AE372" s="25"/>
      <c r="AF372" s="4"/>
      <c r="AG372" s="4"/>
      <c r="AH372" s="4"/>
      <c r="AI372" s="4"/>
      <c r="AM372" s="26"/>
      <c r="AN372" s="26"/>
      <c r="AO372" s="26"/>
      <c r="AP372" s="26"/>
    </row>
    <row r="373" spans="1:42" ht="12.75" customHeight="1" x14ac:dyDescent="0.2">
      <c r="A373" s="5"/>
      <c r="B373" s="5"/>
      <c r="C373" s="5"/>
      <c r="E373" s="5"/>
      <c r="F373" s="5"/>
      <c r="N373" s="5"/>
      <c r="O373" s="5"/>
      <c r="X373" s="4"/>
      <c r="Y373" s="4"/>
      <c r="Z373" s="4"/>
      <c r="AA373" s="4"/>
      <c r="AB373" s="4"/>
      <c r="AC373" s="4"/>
      <c r="AD373" s="4"/>
      <c r="AE373" s="25"/>
      <c r="AF373" s="4"/>
      <c r="AG373" s="4"/>
      <c r="AH373" s="4"/>
      <c r="AI373" s="4"/>
      <c r="AM373" s="26"/>
      <c r="AN373" s="26"/>
      <c r="AO373" s="26"/>
      <c r="AP373" s="26"/>
    </row>
    <row r="374" spans="1:42" ht="12.75" customHeight="1" x14ac:dyDescent="0.2">
      <c r="A374" s="5"/>
      <c r="B374" s="5"/>
      <c r="C374" s="5"/>
      <c r="E374" s="5"/>
      <c r="F374" s="5"/>
      <c r="N374" s="5"/>
      <c r="O374" s="5"/>
      <c r="X374" s="4"/>
      <c r="Y374" s="4"/>
      <c r="Z374" s="4"/>
      <c r="AA374" s="4"/>
      <c r="AB374" s="4"/>
      <c r="AC374" s="4"/>
      <c r="AD374" s="4"/>
      <c r="AE374" s="25"/>
      <c r="AF374" s="4"/>
      <c r="AG374" s="4"/>
      <c r="AH374" s="4"/>
      <c r="AI374" s="4"/>
      <c r="AM374" s="26"/>
      <c r="AN374" s="26"/>
      <c r="AO374" s="26"/>
      <c r="AP374" s="26"/>
    </row>
    <row r="375" spans="1:42" ht="12.75" customHeight="1" x14ac:dyDescent="0.2">
      <c r="A375" s="5"/>
      <c r="B375" s="5"/>
      <c r="C375" s="5"/>
      <c r="E375" s="5"/>
      <c r="F375" s="5"/>
      <c r="N375" s="5"/>
      <c r="O375" s="5"/>
      <c r="X375" s="4"/>
      <c r="Y375" s="4"/>
      <c r="Z375" s="4"/>
      <c r="AA375" s="4"/>
      <c r="AB375" s="4"/>
      <c r="AC375" s="4"/>
      <c r="AD375" s="4"/>
      <c r="AE375" s="25"/>
      <c r="AF375" s="4"/>
      <c r="AG375" s="4"/>
      <c r="AH375" s="4"/>
      <c r="AI375" s="4"/>
      <c r="AM375" s="26"/>
      <c r="AN375" s="26"/>
      <c r="AO375" s="26"/>
      <c r="AP375" s="26"/>
    </row>
    <row r="376" spans="1:42" ht="12.75" customHeight="1" x14ac:dyDescent="0.2">
      <c r="A376" s="5"/>
      <c r="B376" s="5"/>
      <c r="C376" s="5"/>
      <c r="E376" s="5"/>
      <c r="F376" s="5"/>
      <c r="N376" s="5"/>
      <c r="O376" s="5"/>
      <c r="X376" s="4"/>
      <c r="Y376" s="4"/>
      <c r="Z376" s="4"/>
      <c r="AA376" s="4"/>
      <c r="AB376" s="4"/>
      <c r="AC376" s="4"/>
      <c r="AD376" s="4"/>
      <c r="AE376" s="25"/>
      <c r="AF376" s="4"/>
      <c r="AG376" s="4"/>
      <c r="AH376" s="4"/>
      <c r="AI376" s="4"/>
      <c r="AM376" s="26"/>
      <c r="AN376" s="26"/>
      <c r="AO376" s="26"/>
      <c r="AP376" s="26"/>
    </row>
    <row r="377" spans="1:42" ht="12.75" customHeight="1" x14ac:dyDescent="0.2">
      <c r="A377" s="5"/>
      <c r="B377" s="5"/>
      <c r="C377" s="5"/>
      <c r="E377" s="5"/>
      <c r="F377" s="5"/>
      <c r="N377" s="5"/>
      <c r="O377" s="5"/>
      <c r="X377" s="4"/>
      <c r="Y377" s="4"/>
      <c r="Z377" s="4"/>
      <c r="AA377" s="4"/>
      <c r="AB377" s="4"/>
      <c r="AC377" s="4"/>
      <c r="AD377" s="4"/>
      <c r="AE377" s="25"/>
      <c r="AF377" s="4"/>
      <c r="AG377" s="4"/>
      <c r="AH377" s="4"/>
      <c r="AI377" s="4"/>
      <c r="AM377" s="26"/>
      <c r="AN377" s="26"/>
      <c r="AO377" s="26"/>
      <c r="AP377" s="26"/>
    </row>
    <row r="378" spans="1:42" ht="12.75" customHeight="1" x14ac:dyDescent="0.2">
      <c r="A378" s="5"/>
      <c r="B378" s="5"/>
      <c r="C378" s="5"/>
      <c r="E378" s="5"/>
      <c r="F378" s="5"/>
      <c r="N378" s="5"/>
      <c r="O378" s="5"/>
      <c r="X378" s="4"/>
      <c r="Y378" s="4"/>
      <c r="Z378" s="4"/>
      <c r="AA378" s="4"/>
      <c r="AB378" s="4"/>
      <c r="AC378" s="4"/>
      <c r="AD378" s="4"/>
      <c r="AE378" s="25"/>
      <c r="AF378" s="4"/>
      <c r="AG378" s="4"/>
      <c r="AH378" s="4"/>
      <c r="AI378" s="4"/>
      <c r="AM378" s="26"/>
      <c r="AN378" s="26"/>
      <c r="AO378" s="26"/>
      <c r="AP378" s="26"/>
    </row>
    <row r="379" spans="1:42" ht="12.75" customHeight="1" x14ac:dyDescent="0.2">
      <c r="A379" s="5"/>
      <c r="B379" s="5"/>
      <c r="C379" s="5"/>
      <c r="E379" s="5"/>
      <c r="F379" s="5"/>
      <c r="N379" s="5"/>
      <c r="O379" s="5"/>
      <c r="X379" s="4"/>
      <c r="Y379" s="4"/>
      <c r="Z379" s="4"/>
      <c r="AA379" s="4"/>
      <c r="AB379" s="4"/>
      <c r="AC379" s="4"/>
      <c r="AD379" s="4"/>
      <c r="AE379" s="25"/>
      <c r="AF379" s="4"/>
      <c r="AG379" s="4"/>
      <c r="AH379" s="4"/>
      <c r="AI379" s="4"/>
      <c r="AM379" s="26"/>
      <c r="AN379" s="26"/>
      <c r="AO379" s="26"/>
      <c r="AP379" s="26"/>
    </row>
    <row r="380" spans="1:42" ht="12.75" customHeight="1" x14ac:dyDescent="0.2">
      <c r="A380" s="5"/>
      <c r="B380" s="5"/>
      <c r="C380" s="5"/>
      <c r="E380" s="5"/>
      <c r="F380" s="5"/>
      <c r="N380" s="5"/>
      <c r="O380" s="5"/>
      <c r="X380" s="4"/>
      <c r="Y380" s="4"/>
      <c r="Z380" s="4"/>
      <c r="AA380" s="4"/>
      <c r="AB380" s="4"/>
      <c r="AC380" s="4"/>
      <c r="AD380" s="4"/>
      <c r="AE380" s="25"/>
      <c r="AF380" s="4"/>
      <c r="AG380" s="4"/>
      <c r="AH380" s="4"/>
      <c r="AI380" s="4"/>
      <c r="AM380" s="26"/>
      <c r="AN380" s="26"/>
      <c r="AO380" s="26"/>
      <c r="AP380" s="26"/>
    </row>
    <row r="381" spans="1:42" ht="12.75" customHeight="1" x14ac:dyDescent="0.2">
      <c r="A381" s="5"/>
      <c r="B381" s="5"/>
      <c r="C381" s="5"/>
      <c r="E381" s="5"/>
      <c r="F381" s="5"/>
      <c r="N381" s="5"/>
      <c r="O381" s="5"/>
      <c r="X381" s="4"/>
      <c r="Y381" s="4"/>
      <c r="Z381" s="4"/>
      <c r="AA381" s="4"/>
      <c r="AB381" s="4"/>
      <c r="AC381" s="4"/>
      <c r="AD381" s="4"/>
      <c r="AE381" s="25"/>
      <c r="AF381" s="4"/>
      <c r="AG381" s="4"/>
      <c r="AH381" s="4"/>
      <c r="AI381" s="4"/>
      <c r="AM381" s="26"/>
      <c r="AN381" s="26"/>
      <c r="AO381" s="26"/>
      <c r="AP381" s="26"/>
    </row>
    <row r="382" spans="1:42" ht="12.75" customHeight="1" x14ac:dyDescent="0.2">
      <c r="A382" s="5"/>
      <c r="B382" s="5"/>
      <c r="C382" s="5"/>
      <c r="E382" s="5"/>
      <c r="F382" s="5"/>
      <c r="N382" s="5"/>
      <c r="O382" s="5"/>
      <c r="X382" s="4"/>
      <c r="Y382" s="4"/>
      <c r="Z382" s="4"/>
      <c r="AA382" s="4"/>
      <c r="AB382" s="4"/>
      <c r="AC382" s="4"/>
      <c r="AD382" s="4"/>
      <c r="AE382" s="25"/>
      <c r="AF382" s="4"/>
      <c r="AG382" s="4"/>
      <c r="AH382" s="4"/>
      <c r="AI382" s="4"/>
      <c r="AM382" s="26"/>
      <c r="AN382" s="26"/>
      <c r="AO382" s="26"/>
      <c r="AP382" s="26"/>
    </row>
    <row r="383" spans="1:42" ht="12.75" customHeight="1" x14ac:dyDescent="0.2">
      <c r="A383" s="5"/>
      <c r="B383" s="5"/>
      <c r="C383" s="5"/>
      <c r="E383" s="5"/>
      <c r="F383" s="5"/>
      <c r="N383" s="5"/>
      <c r="O383" s="5"/>
      <c r="X383" s="4"/>
      <c r="Y383" s="4"/>
      <c r="Z383" s="4"/>
      <c r="AA383" s="4"/>
      <c r="AB383" s="4"/>
      <c r="AC383" s="4"/>
      <c r="AD383" s="4"/>
      <c r="AE383" s="25"/>
      <c r="AF383" s="4"/>
      <c r="AG383" s="4"/>
      <c r="AH383" s="4"/>
      <c r="AI383" s="4"/>
      <c r="AM383" s="26"/>
      <c r="AN383" s="26"/>
      <c r="AO383" s="26"/>
      <c r="AP383" s="26"/>
    </row>
    <row r="384" spans="1:42" ht="12.75" customHeight="1" x14ac:dyDescent="0.2">
      <c r="A384" s="5"/>
      <c r="B384" s="5"/>
      <c r="C384" s="5"/>
      <c r="E384" s="5"/>
      <c r="F384" s="5"/>
      <c r="N384" s="5"/>
      <c r="O384" s="5"/>
      <c r="X384" s="4"/>
      <c r="Y384" s="4"/>
      <c r="Z384" s="4"/>
      <c r="AA384" s="4"/>
      <c r="AB384" s="4"/>
      <c r="AC384" s="4"/>
      <c r="AD384" s="4"/>
      <c r="AE384" s="25"/>
      <c r="AF384" s="4"/>
      <c r="AG384" s="4"/>
      <c r="AH384" s="4"/>
      <c r="AI384" s="4"/>
      <c r="AM384" s="26"/>
      <c r="AN384" s="26"/>
      <c r="AO384" s="26"/>
      <c r="AP384" s="26"/>
    </row>
    <row r="385" spans="1:42" ht="12.75" customHeight="1" x14ac:dyDescent="0.2">
      <c r="A385" s="5"/>
      <c r="B385" s="5"/>
      <c r="C385" s="5"/>
      <c r="E385" s="5"/>
      <c r="F385" s="5"/>
      <c r="N385" s="5"/>
      <c r="O385" s="5"/>
      <c r="X385" s="4"/>
      <c r="Y385" s="4"/>
      <c r="Z385" s="4"/>
      <c r="AA385" s="4"/>
      <c r="AB385" s="4"/>
      <c r="AC385" s="4"/>
      <c r="AD385" s="4"/>
      <c r="AE385" s="25"/>
      <c r="AF385" s="4"/>
      <c r="AG385" s="4"/>
      <c r="AH385" s="4"/>
      <c r="AI385" s="4"/>
      <c r="AM385" s="26"/>
      <c r="AN385" s="26"/>
      <c r="AO385" s="26"/>
      <c r="AP385" s="26"/>
    </row>
    <row r="386" spans="1:42" ht="12.75" customHeight="1" x14ac:dyDescent="0.2">
      <c r="A386" s="5"/>
      <c r="B386" s="5"/>
      <c r="C386" s="5"/>
      <c r="E386" s="5"/>
      <c r="F386" s="5"/>
      <c r="N386" s="5"/>
      <c r="O386" s="5"/>
      <c r="X386" s="4"/>
      <c r="Y386" s="4"/>
      <c r="Z386" s="4"/>
      <c r="AA386" s="4"/>
      <c r="AB386" s="4"/>
      <c r="AC386" s="4"/>
      <c r="AD386" s="4"/>
      <c r="AE386" s="25"/>
      <c r="AF386" s="4"/>
      <c r="AG386" s="4"/>
      <c r="AH386" s="4"/>
      <c r="AI386" s="4"/>
      <c r="AM386" s="26"/>
      <c r="AN386" s="26"/>
      <c r="AO386" s="26"/>
      <c r="AP386" s="26"/>
    </row>
    <row r="387" spans="1:42" ht="12.75" customHeight="1" x14ac:dyDescent="0.2">
      <c r="A387" s="5"/>
      <c r="B387" s="5"/>
      <c r="C387" s="5"/>
      <c r="E387" s="5"/>
      <c r="F387" s="5"/>
      <c r="N387" s="5"/>
      <c r="O387" s="5"/>
      <c r="X387" s="4"/>
      <c r="Y387" s="4"/>
      <c r="Z387" s="4"/>
      <c r="AA387" s="4"/>
      <c r="AB387" s="4"/>
      <c r="AC387" s="4"/>
      <c r="AD387" s="4"/>
      <c r="AE387" s="25"/>
      <c r="AF387" s="4"/>
      <c r="AG387" s="4"/>
      <c r="AH387" s="4"/>
      <c r="AI387" s="4"/>
      <c r="AM387" s="26"/>
      <c r="AN387" s="26"/>
      <c r="AO387" s="26"/>
      <c r="AP387" s="26"/>
    </row>
    <row r="388" spans="1:42" ht="12.75" customHeight="1" x14ac:dyDescent="0.2">
      <c r="A388" s="5"/>
      <c r="B388" s="5"/>
      <c r="C388" s="5"/>
      <c r="E388" s="5"/>
      <c r="F388" s="5"/>
      <c r="N388" s="5"/>
      <c r="O388" s="5"/>
      <c r="X388" s="4"/>
      <c r="Y388" s="4"/>
      <c r="Z388" s="4"/>
      <c r="AA388" s="4"/>
      <c r="AB388" s="4"/>
      <c r="AC388" s="4"/>
      <c r="AD388" s="4"/>
      <c r="AE388" s="25"/>
      <c r="AF388" s="4"/>
      <c r="AG388" s="4"/>
      <c r="AH388" s="4"/>
      <c r="AI388" s="4"/>
      <c r="AM388" s="26"/>
      <c r="AN388" s="26"/>
      <c r="AO388" s="26"/>
      <c r="AP388" s="26"/>
    </row>
    <row r="389" spans="1:42" ht="12.75" customHeight="1" x14ac:dyDescent="0.2">
      <c r="A389" s="5"/>
      <c r="B389" s="5"/>
      <c r="C389" s="5"/>
      <c r="E389" s="5"/>
      <c r="F389" s="5"/>
      <c r="N389" s="5"/>
      <c r="O389" s="5"/>
      <c r="X389" s="4"/>
      <c r="Y389" s="4"/>
      <c r="Z389" s="4"/>
      <c r="AA389" s="4"/>
      <c r="AB389" s="4"/>
      <c r="AC389" s="4"/>
      <c r="AD389" s="4"/>
      <c r="AE389" s="25"/>
      <c r="AF389" s="4"/>
      <c r="AG389" s="4"/>
      <c r="AH389" s="4"/>
      <c r="AI389" s="4"/>
      <c r="AM389" s="26"/>
      <c r="AN389" s="26"/>
      <c r="AO389" s="26"/>
      <c r="AP389" s="26"/>
    </row>
    <row r="390" spans="1:42" ht="12.75" customHeight="1" x14ac:dyDescent="0.2">
      <c r="A390" s="5"/>
      <c r="B390" s="5"/>
      <c r="C390" s="5"/>
      <c r="E390" s="5"/>
      <c r="F390" s="5"/>
      <c r="N390" s="5"/>
      <c r="O390" s="5"/>
      <c r="X390" s="4"/>
      <c r="Y390" s="4"/>
      <c r="Z390" s="4"/>
      <c r="AA390" s="4"/>
      <c r="AB390" s="4"/>
      <c r="AC390" s="4"/>
      <c r="AD390" s="4"/>
      <c r="AE390" s="25"/>
      <c r="AF390" s="4"/>
      <c r="AG390" s="4"/>
      <c r="AH390" s="4"/>
      <c r="AI390" s="4"/>
      <c r="AM390" s="26"/>
      <c r="AN390" s="26"/>
      <c r="AO390" s="26"/>
      <c r="AP390" s="26"/>
    </row>
    <row r="391" spans="1:42" ht="12.75" customHeight="1" x14ac:dyDescent="0.2">
      <c r="A391" s="5"/>
      <c r="B391" s="5"/>
      <c r="C391" s="5"/>
      <c r="E391" s="5"/>
      <c r="F391" s="5"/>
      <c r="N391" s="5"/>
      <c r="O391" s="5"/>
      <c r="X391" s="4"/>
      <c r="Y391" s="4"/>
      <c r="Z391" s="4"/>
      <c r="AA391" s="4"/>
      <c r="AB391" s="4"/>
      <c r="AC391" s="4"/>
      <c r="AD391" s="4"/>
      <c r="AE391" s="25"/>
      <c r="AF391" s="4"/>
      <c r="AG391" s="4"/>
      <c r="AH391" s="4"/>
      <c r="AI391" s="4"/>
      <c r="AM391" s="26"/>
      <c r="AN391" s="26"/>
      <c r="AO391" s="26"/>
      <c r="AP391" s="26"/>
    </row>
    <row r="392" spans="1:42" ht="12.75" customHeight="1" x14ac:dyDescent="0.2">
      <c r="A392" s="5"/>
      <c r="B392" s="5"/>
      <c r="C392" s="5"/>
      <c r="E392" s="5"/>
      <c r="F392" s="5"/>
      <c r="N392" s="5"/>
      <c r="O392" s="5"/>
      <c r="X392" s="4"/>
      <c r="Y392" s="4"/>
      <c r="Z392" s="4"/>
      <c r="AA392" s="4"/>
      <c r="AB392" s="4"/>
      <c r="AC392" s="4"/>
      <c r="AD392" s="4"/>
      <c r="AE392" s="25"/>
      <c r="AF392" s="4"/>
      <c r="AG392" s="4"/>
      <c r="AH392" s="4"/>
      <c r="AI392" s="4"/>
      <c r="AM392" s="26"/>
      <c r="AN392" s="26"/>
      <c r="AO392" s="26"/>
      <c r="AP392" s="26"/>
    </row>
    <row r="393" spans="1:42" ht="12.75" customHeight="1" x14ac:dyDescent="0.2">
      <c r="A393" s="5"/>
      <c r="B393" s="5"/>
      <c r="C393" s="5"/>
      <c r="E393" s="5"/>
      <c r="F393" s="5"/>
      <c r="N393" s="5"/>
      <c r="O393" s="5"/>
      <c r="X393" s="4"/>
      <c r="Y393" s="4"/>
      <c r="Z393" s="4"/>
      <c r="AA393" s="4"/>
      <c r="AB393" s="4"/>
      <c r="AC393" s="4"/>
      <c r="AD393" s="4"/>
      <c r="AE393" s="25"/>
      <c r="AF393" s="4"/>
      <c r="AG393" s="4"/>
      <c r="AH393" s="4"/>
      <c r="AI393" s="4"/>
      <c r="AM393" s="26"/>
      <c r="AN393" s="26"/>
      <c r="AO393" s="26"/>
      <c r="AP393" s="26"/>
    </row>
    <row r="394" spans="1:42" ht="12.75" customHeight="1" x14ac:dyDescent="0.2">
      <c r="A394" s="5"/>
      <c r="B394" s="5"/>
      <c r="C394" s="5"/>
      <c r="E394" s="5"/>
      <c r="F394" s="5"/>
      <c r="N394" s="5"/>
      <c r="O394" s="5"/>
      <c r="X394" s="4"/>
      <c r="Y394" s="4"/>
      <c r="Z394" s="4"/>
      <c r="AA394" s="4"/>
      <c r="AB394" s="4"/>
      <c r="AC394" s="4"/>
      <c r="AD394" s="4"/>
      <c r="AE394" s="25"/>
      <c r="AF394" s="4"/>
      <c r="AG394" s="4"/>
      <c r="AH394" s="4"/>
      <c r="AI394" s="4"/>
      <c r="AM394" s="26"/>
      <c r="AN394" s="26"/>
      <c r="AO394" s="26"/>
      <c r="AP394" s="26"/>
    </row>
    <row r="395" spans="1:42" ht="12.75" customHeight="1" x14ac:dyDescent="0.2">
      <c r="A395" s="5"/>
      <c r="B395" s="5"/>
      <c r="C395" s="5"/>
      <c r="E395" s="5"/>
      <c r="F395" s="5"/>
      <c r="N395" s="5"/>
      <c r="O395" s="5"/>
      <c r="X395" s="4"/>
      <c r="Y395" s="4"/>
      <c r="Z395" s="4"/>
      <c r="AA395" s="4"/>
      <c r="AB395" s="4"/>
      <c r="AC395" s="4"/>
      <c r="AD395" s="4"/>
      <c r="AE395" s="25"/>
      <c r="AF395" s="4"/>
      <c r="AG395" s="4"/>
      <c r="AH395" s="4"/>
      <c r="AI395" s="4"/>
      <c r="AM395" s="26"/>
      <c r="AN395" s="26"/>
      <c r="AO395" s="26"/>
      <c r="AP395" s="26"/>
    </row>
    <row r="396" spans="1:42" ht="12.75" customHeight="1" x14ac:dyDescent="0.2">
      <c r="A396" s="5"/>
      <c r="B396" s="5"/>
      <c r="C396" s="5"/>
      <c r="E396" s="5"/>
      <c r="F396" s="5"/>
      <c r="N396" s="5"/>
      <c r="O396" s="5"/>
      <c r="X396" s="4"/>
      <c r="Y396" s="4"/>
      <c r="Z396" s="4"/>
      <c r="AA396" s="4"/>
      <c r="AB396" s="4"/>
      <c r="AC396" s="4"/>
      <c r="AD396" s="4"/>
      <c r="AE396" s="25"/>
      <c r="AF396" s="4"/>
      <c r="AG396" s="4"/>
      <c r="AH396" s="4"/>
      <c r="AI396" s="4"/>
      <c r="AM396" s="26"/>
      <c r="AN396" s="26"/>
      <c r="AO396" s="26"/>
      <c r="AP396" s="26"/>
    </row>
    <row r="397" spans="1:42" ht="12.75" customHeight="1" x14ac:dyDescent="0.2">
      <c r="A397" s="5"/>
      <c r="B397" s="5"/>
      <c r="C397" s="5"/>
      <c r="E397" s="5"/>
      <c r="F397" s="5"/>
      <c r="N397" s="5"/>
      <c r="O397" s="5"/>
      <c r="X397" s="4"/>
      <c r="Y397" s="4"/>
      <c r="Z397" s="4"/>
      <c r="AA397" s="4"/>
      <c r="AB397" s="4"/>
      <c r="AC397" s="4"/>
      <c r="AD397" s="4"/>
      <c r="AE397" s="25"/>
      <c r="AF397" s="4"/>
      <c r="AG397" s="4"/>
      <c r="AH397" s="4"/>
      <c r="AI397" s="4"/>
      <c r="AM397" s="26"/>
      <c r="AN397" s="26"/>
      <c r="AO397" s="26"/>
      <c r="AP397" s="26"/>
    </row>
    <row r="398" spans="1:42" ht="12.75" customHeight="1" x14ac:dyDescent="0.2">
      <c r="A398" s="5"/>
      <c r="B398" s="5"/>
      <c r="C398" s="5"/>
      <c r="E398" s="5"/>
      <c r="F398" s="5"/>
      <c r="N398" s="5"/>
      <c r="O398" s="5"/>
      <c r="X398" s="4"/>
      <c r="Y398" s="4"/>
      <c r="Z398" s="4"/>
      <c r="AA398" s="4"/>
      <c r="AB398" s="4"/>
      <c r="AC398" s="4"/>
      <c r="AD398" s="4"/>
      <c r="AE398" s="25"/>
      <c r="AF398" s="4"/>
      <c r="AG398" s="4"/>
      <c r="AH398" s="4"/>
      <c r="AI398" s="4"/>
      <c r="AM398" s="26"/>
      <c r="AN398" s="26"/>
      <c r="AO398" s="26"/>
      <c r="AP398" s="26"/>
    </row>
    <row r="399" spans="1:42" ht="12.75" customHeight="1" x14ac:dyDescent="0.2">
      <c r="A399" s="5"/>
      <c r="B399" s="5"/>
      <c r="C399" s="5"/>
      <c r="E399" s="5"/>
      <c r="F399" s="5"/>
      <c r="N399" s="5"/>
      <c r="O399" s="5"/>
      <c r="X399" s="4"/>
      <c r="Y399" s="4"/>
      <c r="Z399" s="4"/>
      <c r="AA399" s="4"/>
      <c r="AB399" s="4"/>
      <c r="AC399" s="4"/>
      <c r="AD399" s="4"/>
      <c r="AE399" s="25"/>
      <c r="AF399" s="4"/>
      <c r="AG399" s="4"/>
      <c r="AH399" s="4"/>
      <c r="AI399" s="4"/>
      <c r="AM399" s="26"/>
      <c r="AN399" s="26"/>
      <c r="AO399" s="26"/>
      <c r="AP399" s="26"/>
    </row>
    <row r="400" spans="1:42" ht="12.75" customHeight="1" x14ac:dyDescent="0.2">
      <c r="A400" s="5"/>
      <c r="B400" s="5"/>
      <c r="C400" s="5"/>
      <c r="E400" s="5"/>
      <c r="F400" s="5"/>
      <c r="N400" s="5"/>
      <c r="O400" s="5"/>
      <c r="X400" s="4"/>
      <c r="Y400" s="4"/>
      <c r="Z400" s="4"/>
      <c r="AA400" s="4"/>
      <c r="AB400" s="4"/>
      <c r="AC400" s="4"/>
      <c r="AD400" s="4"/>
      <c r="AE400" s="25"/>
      <c r="AF400" s="4"/>
      <c r="AG400" s="4"/>
      <c r="AH400" s="4"/>
      <c r="AI400" s="4"/>
      <c r="AM400" s="26"/>
      <c r="AN400" s="26"/>
      <c r="AO400" s="26"/>
      <c r="AP400" s="26"/>
    </row>
    <row r="401" spans="1:42" ht="12.75" customHeight="1" x14ac:dyDescent="0.2">
      <c r="A401" s="5"/>
      <c r="B401" s="5"/>
      <c r="C401" s="5"/>
      <c r="E401" s="5"/>
      <c r="F401" s="5"/>
      <c r="N401" s="5"/>
      <c r="O401" s="5"/>
      <c r="X401" s="4"/>
      <c r="Y401" s="4"/>
      <c r="Z401" s="4"/>
      <c r="AA401" s="4"/>
      <c r="AB401" s="4"/>
      <c r="AC401" s="4"/>
      <c r="AD401" s="4"/>
      <c r="AE401" s="25"/>
      <c r="AF401" s="4"/>
      <c r="AG401" s="4"/>
      <c r="AH401" s="4"/>
      <c r="AI401" s="4"/>
      <c r="AM401" s="26"/>
      <c r="AN401" s="26"/>
      <c r="AO401" s="26"/>
      <c r="AP401" s="26"/>
    </row>
    <row r="402" spans="1:42" ht="12.75" customHeight="1" x14ac:dyDescent="0.2">
      <c r="A402" s="5"/>
      <c r="B402" s="5"/>
      <c r="C402" s="5"/>
      <c r="E402" s="5"/>
      <c r="F402" s="5"/>
      <c r="N402" s="5"/>
      <c r="O402" s="5"/>
      <c r="X402" s="4"/>
      <c r="Y402" s="4"/>
      <c r="Z402" s="4"/>
      <c r="AA402" s="4"/>
      <c r="AB402" s="4"/>
      <c r="AC402" s="4"/>
      <c r="AD402" s="4"/>
      <c r="AE402" s="25"/>
      <c r="AF402" s="4"/>
      <c r="AG402" s="4"/>
      <c r="AH402" s="4"/>
      <c r="AI402" s="4"/>
      <c r="AM402" s="26"/>
      <c r="AN402" s="26"/>
      <c r="AO402" s="26"/>
      <c r="AP402" s="26"/>
    </row>
    <row r="403" spans="1:42" ht="12.75" customHeight="1" x14ac:dyDescent="0.2">
      <c r="A403" s="5"/>
      <c r="B403" s="5"/>
      <c r="C403" s="5"/>
      <c r="E403" s="5"/>
      <c r="F403" s="5"/>
      <c r="N403" s="5"/>
      <c r="O403" s="5"/>
      <c r="X403" s="4"/>
      <c r="Y403" s="4"/>
      <c r="Z403" s="4"/>
      <c r="AA403" s="4"/>
      <c r="AB403" s="4"/>
      <c r="AC403" s="4"/>
      <c r="AD403" s="4"/>
      <c r="AE403" s="25"/>
      <c r="AF403" s="4"/>
      <c r="AG403" s="4"/>
      <c r="AH403" s="4"/>
      <c r="AI403" s="4"/>
      <c r="AM403" s="26"/>
      <c r="AN403" s="26"/>
      <c r="AO403" s="26"/>
      <c r="AP403" s="26"/>
    </row>
    <row r="404" spans="1:42" ht="12.75" customHeight="1" x14ac:dyDescent="0.2">
      <c r="A404" s="5"/>
      <c r="B404" s="5"/>
      <c r="C404" s="5"/>
      <c r="E404" s="5"/>
      <c r="F404" s="5"/>
      <c r="N404" s="5"/>
      <c r="O404" s="5"/>
      <c r="X404" s="4"/>
      <c r="Y404" s="4"/>
      <c r="Z404" s="4"/>
      <c r="AA404" s="4"/>
      <c r="AB404" s="4"/>
      <c r="AC404" s="4"/>
      <c r="AD404" s="4"/>
      <c r="AE404" s="25"/>
      <c r="AF404" s="4"/>
      <c r="AG404" s="4"/>
      <c r="AH404" s="4"/>
      <c r="AI404" s="4"/>
      <c r="AM404" s="26"/>
      <c r="AN404" s="26"/>
      <c r="AO404" s="26"/>
      <c r="AP404" s="26"/>
    </row>
    <row r="405" spans="1:42" ht="12.75" customHeight="1" x14ac:dyDescent="0.2">
      <c r="A405" s="5"/>
      <c r="B405" s="5"/>
      <c r="C405" s="5"/>
      <c r="E405" s="5"/>
      <c r="F405" s="5"/>
      <c r="N405" s="5"/>
      <c r="O405" s="5"/>
      <c r="X405" s="4"/>
      <c r="Y405" s="4"/>
      <c r="Z405" s="4"/>
      <c r="AA405" s="4"/>
      <c r="AB405" s="4"/>
      <c r="AC405" s="4"/>
      <c r="AD405" s="4"/>
      <c r="AE405" s="25"/>
      <c r="AF405" s="4"/>
      <c r="AG405" s="4"/>
      <c r="AH405" s="4"/>
      <c r="AI405" s="4"/>
      <c r="AM405" s="26"/>
      <c r="AN405" s="26"/>
      <c r="AO405" s="26"/>
      <c r="AP405" s="26"/>
    </row>
    <row r="406" spans="1:42" ht="12.75" customHeight="1" x14ac:dyDescent="0.2">
      <c r="A406" s="5"/>
      <c r="B406" s="5"/>
      <c r="C406" s="5"/>
      <c r="E406" s="5"/>
      <c r="F406" s="5"/>
      <c r="N406" s="5"/>
      <c r="O406" s="5"/>
      <c r="X406" s="4"/>
      <c r="Y406" s="4"/>
      <c r="Z406" s="4"/>
      <c r="AA406" s="4"/>
      <c r="AB406" s="4"/>
      <c r="AC406" s="4"/>
      <c r="AD406" s="4"/>
      <c r="AE406" s="25"/>
      <c r="AF406" s="4"/>
      <c r="AG406" s="4"/>
      <c r="AH406" s="4"/>
      <c r="AI406" s="4"/>
      <c r="AM406" s="26"/>
      <c r="AN406" s="26"/>
      <c r="AO406" s="26"/>
      <c r="AP406" s="26"/>
    </row>
    <row r="407" spans="1:42" ht="12.75" customHeight="1" x14ac:dyDescent="0.2">
      <c r="A407" s="5"/>
      <c r="B407" s="5"/>
      <c r="C407" s="5"/>
      <c r="E407" s="5"/>
      <c r="F407" s="5"/>
      <c r="N407" s="5"/>
      <c r="O407" s="5"/>
      <c r="X407" s="4"/>
      <c r="Y407" s="4"/>
      <c r="Z407" s="4"/>
      <c r="AA407" s="4"/>
      <c r="AB407" s="4"/>
      <c r="AC407" s="4"/>
      <c r="AD407" s="4"/>
      <c r="AE407" s="25"/>
      <c r="AF407" s="4"/>
      <c r="AG407" s="4"/>
      <c r="AH407" s="4"/>
      <c r="AI407" s="4"/>
      <c r="AM407" s="26"/>
      <c r="AN407" s="26"/>
      <c r="AO407" s="26"/>
      <c r="AP407" s="26"/>
    </row>
    <row r="408" spans="1:42" ht="12.75" customHeight="1" x14ac:dyDescent="0.2">
      <c r="A408" s="5"/>
      <c r="B408" s="5"/>
      <c r="C408" s="5"/>
      <c r="E408" s="5"/>
      <c r="F408" s="5"/>
      <c r="N408" s="5"/>
      <c r="O408" s="5"/>
      <c r="X408" s="4"/>
      <c r="Y408" s="4"/>
      <c r="Z408" s="4"/>
      <c r="AA408" s="4"/>
      <c r="AB408" s="4"/>
      <c r="AC408" s="4"/>
      <c r="AD408" s="4"/>
      <c r="AE408" s="25"/>
      <c r="AF408" s="4"/>
      <c r="AG408" s="4"/>
      <c r="AH408" s="4"/>
      <c r="AI408" s="4"/>
      <c r="AM408" s="26"/>
      <c r="AN408" s="26"/>
      <c r="AO408" s="26"/>
      <c r="AP408" s="26"/>
    </row>
    <row r="409" spans="1:42" ht="12.75" customHeight="1" x14ac:dyDescent="0.2">
      <c r="A409" s="5"/>
      <c r="B409" s="5"/>
      <c r="C409" s="5"/>
      <c r="E409" s="5"/>
      <c r="F409" s="5"/>
      <c r="N409" s="5"/>
      <c r="O409" s="5"/>
      <c r="X409" s="4"/>
      <c r="Y409" s="4"/>
      <c r="Z409" s="4"/>
      <c r="AA409" s="4"/>
      <c r="AB409" s="4"/>
      <c r="AC409" s="4"/>
      <c r="AD409" s="4"/>
      <c r="AE409" s="25"/>
      <c r="AF409" s="4"/>
      <c r="AG409" s="4"/>
      <c r="AH409" s="4"/>
      <c r="AI409" s="4"/>
      <c r="AM409" s="26"/>
      <c r="AN409" s="26"/>
      <c r="AO409" s="26"/>
      <c r="AP409" s="26"/>
    </row>
    <row r="410" spans="1:42" ht="12.75" customHeight="1" x14ac:dyDescent="0.2">
      <c r="A410" s="5"/>
      <c r="B410" s="5"/>
      <c r="C410" s="5"/>
      <c r="E410" s="5"/>
      <c r="F410" s="5"/>
      <c r="N410" s="5"/>
      <c r="O410" s="5"/>
      <c r="X410" s="4"/>
      <c r="Y410" s="4"/>
      <c r="Z410" s="4"/>
      <c r="AA410" s="4"/>
      <c r="AB410" s="4"/>
      <c r="AC410" s="4"/>
      <c r="AD410" s="4"/>
      <c r="AE410" s="25"/>
      <c r="AF410" s="4"/>
      <c r="AG410" s="4"/>
      <c r="AH410" s="4"/>
      <c r="AI410" s="4"/>
      <c r="AM410" s="26"/>
      <c r="AN410" s="26"/>
      <c r="AO410" s="26"/>
      <c r="AP410" s="26"/>
    </row>
    <row r="411" spans="1:42" ht="12.75" customHeight="1" x14ac:dyDescent="0.2">
      <c r="A411" s="5"/>
      <c r="B411" s="5"/>
      <c r="C411" s="5"/>
      <c r="E411" s="5"/>
      <c r="F411" s="5"/>
      <c r="N411" s="5"/>
      <c r="O411" s="5"/>
      <c r="X411" s="4"/>
      <c r="Y411" s="4"/>
      <c r="Z411" s="4"/>
      <c r="AA411" s="4"/>
      <c r="AB411" s="4"/>
      <c r="AC411" s="4"/>
      <c r="AD411" s="4"/>
      <c r="AE411" s="25"/>
      <c r="AF411" s="4"/>
      <c r="AG411" s="4"/>
      <c r="AH411" s="4"/>
      <c r="AI411" s="4"/>
      <c r="AM411" s="26"/>
      <c r="AN411" s="26"/>
      <c r="AO411" s="26"/>
      <c r="AP411" s="26"/>
    </row>
    <row r="412" spans="1:42" ht="12.75" customHeight="1" x14ac:dyDescent="0.2">
      <c r="A412" s="5"/>
      <c r="B412" s="5"/>
      <c r="C412" s="5"/>
      <c r="E412" s="5"/>
      <c r="F412" s="5"/>
      <c r="N412" s="5"/>
      <c r="O412" s="5"/>
      <c r="X412" s="4"/>
      <c r="Y412" s="4"/>
      <c r="Z412" s="4"/>
      <c r="AA412" s="4"/>
      <c r="AB412" s="4"/>
      <c r="AC412" s="4"/>
      <c r="AD412" s="4"/>
      <c r="AE412" s="25"/>
      <c r="AF412" s="4"/>
      <c r="AG412" s="4"/>
      <c r="AH412" s="4"/>
      <c r="AI412" s="4"/>
      <c r="AM412" s="26"/>
      <c r="AN412" s="26"/>
      <c r="AO412" s="26"/>
      <c r="AP412" s="26"/>
    </row>
    <row r="413" spans="1:42" ht="12.75" customHeight="1" x14ac:dyDescent="0.2">
      <c r="A413" s="5"/>
      <c r="B413" s="5"/>
      <c r="C413" s="5"/>
      <c r="E413" s="5"/>
      <c r="F413" s="5"/>
      <c r="N413" s="5"/>
      <c r="O413" s="5"/>
      <c r="X413" s="4"/>
      <c r="Y413" s="4"/>
      <c r="Z413" s="4"/>
      <c r="AA413" s="4"/>
      <c r="AB413" s="4"/>
      <c r="AC413" s="4"/>
      <c r="AD413" s="4"/>
      <c r="AE413" s="25"/>
      <c r="AF413" s="4"/>
      <c r="AG413" s="4"/>
      <c r="AH413" s="4"/>
      <c r="AI413" s="4"/>
      <c r="AM413" s="26"/>
      <c r="AN413" s="26"/>
      <c r="AO413" s="26"/>
      <c r="AP413" s="26"/>
    </row>
    <row r="414" spans="1:42" ht="12.75" customHeight="1" x14ac:dyDescent="0.2">
      <c r="A414" s="5"/>
      <c r="B414" s="5"/>
      <c r="C414" s="5"/>
      <c r="E414" s="5"/>
      <c r="F414" s="5"/>
      <c r="N414" s="5"/>
      <c r="O414" s="5"/>
      <c r="X414" s="4"/>
      <c r="Y414" s="4"/>
      <c r="Z414" s="4"/>
      <c r="AA414" s="4"/>
      <c r="AB414" s="4"/>
      <c r="AC414" s="4"/>
      <c r="AD414" s="4"/>
      <c r="AE414" s="25"/>
      <c r="AF414" s="4"/>
      <c r="AG414" s="4"/>
      <c r="AH414" s="4"/>
      <c r="AI414" s="4"/>
      <c r="AM414" s="26"/>
      <c r="AN414" s="26"/>
      <c r="AO414" s="26"/>
      <c r="AP414" s="26"/>
    </row>
    <row r="415" spans="1:42" ht="12.75" customHeight="1" x14ac:dyDescent="0.2">
      <c r="A415" s="5"/>
      <c r="B415" s="5"/>
      <c r="C415" s="5"/>
      <c r="E415" s="5"/>
      <c r="F415" s="5"/>
      <c r="N415" s="5"/>
      <c r="O415" s="5"/>
      <c r="X415" s="4"/>
      <c r="Y415" s="4"/>
      <c r="Z415" s="4"/>
      <c r="AA415" s="4"/>
      <c r="AB415" s="4"/>
      <c r="AC415" s="4"/>
      <c r="AD415" s="4"/>
      <c r="AE415" s="25"/>
      <c r="AF415" s="4"/>
      <c r="AG415" s="4"/>
      <c r="AH415" s="4"/>
      <c r="AI415" s="4"/>
      <c r="AM415" s="26"/>
      <c r="AN415" s="26"/>
      <c r="AO415" s="26"/>
      <c r="AP415" s="26"/>
    </row>
    <row r="416" spans="1:42" ht="12.75" customHeight="1" x14ac:dyDescent="0.2">
      <c r="A416" s="5"/>
      <c r="B416" s="5"/>
      <c r="C416" s="5"/>
      <c r="E416" s="5"/>
      <c r="F416" s="5"/>
      <c r="N416" s="5"/>
      <c r="O416" s="5"/>
      <c r="X416" s="4"/>
      <c r="Y416" s="4"/>
      <c r="Z416" s="4"/>
      <c r="AA416" s="4"/>
      <c r="AB416" s="4"/>
      <c r="AC416" s="4"/>
      <c r="AD416" s="4"/>
      <c r="AE416" s="25"/>
      <c r="AF416" s="4"/>
      <c r="AG416" s="4"/>
      <c r="AH416" s="4"/>
      <c r="AI416" s="4"/>
      <c r="AM416" s="26"/>
      <c r="AN416" s="26"/>
      <c r="AO416" s="26"/>
      <c r="AP416" s="26"/>
    </row>
    <row r="417" spans="1:42" ht="12.75" customHeight="1" x14ac:dyDescent="0.2">
      <c r="A417" s="5"/>
      <c r="B417" s="5"/>
      <c r="C417" s="5"/>
      <c r="E417" s="5"/>
      <c r="F417" s="5"/>
      <c r="N417" s="5"/>
      <c r="O417" s="5"/>
      <c r="X417" s="4"/>
      <c r="Y417" s="4"/>
      <c r="Z417" s="4"/>
      <c r="AA417" s="4"/>
      <c r="AB417" s="4"/>
      <c r="AC417" s="4"/>
      <c r="AD417" s="4"/>
      <c r="AE417" s="25"/>
      <c r="AF417" s="4"/>
      <c r="AG417" s="4"/>
      <c r="AH417" s="4"/>
      <c r="AI417" s="4"/>
      <c r="AM417" s="26"/>
      <c r="AN417" s="26"/>
      <c r="AO417" s="26"/>
      <c r="AP417" s="26"/>
    </row>
    <row r="418" spans="1:42" ht="12.75" customHeight="1" x14ac:dyDescent="0.2">
      <c r="A418" s="5"/>
      <c r="B418" s="5"/>
      <c r="C418" s="5"/>
      <c r="E418" s="5"/>
      <c r="F418" s="5"/>
      <c r="N418" s="5"/>
      <c r="O418" s="5"/>
      <c r="X418" s="4"/>
      <c r="Y418" s="4"/>
      <c r="Z418" s="4"/>
      <c r="AA418" s="4"/>
      <c r="AB418" s="4"/>
      <c r="AC418" s="4"/>
      <c r="AD418" s="4"/>
      <c r="AE418" s="25"/>
      <c r="AF418" s="4"/>
      <c r="AG418" s="4"/>
      <c r="AH418" s="4"/>
      <c r="AI418" s="4"/>
      <c r="AM418" s="26"/>
      <c r="AN418" s="26"/>
      <c r="AO418" s="26"/>
      <c r="AP418" s="26"/>
    </row>
    <row r="419" spans="1:42" ht="12.75" customHeight="1" x14ac:dyDescent="0.2">
      <c r="A419" s="5"/>
      <c r="B419" s="5"/>
      <c r="C419" s="5"/>
      <c r="E419" s="5"/>
      <c r="F419" s="5"/>
      <c r="N419" s="5"/>
      <c r="O419" s="5"/>
      <c r="X419" s="4"/>
      <c r="Y419" s="4"/>
      <c r="Z419" s="4"/>
      <c r="AA419" s="4"/>
      <c r="AB419" s="4"/>
      <c r="AC419" s="4"/>
      <c r="AD419" s="4"/>
      <c r="AE419" s="25"/>
      <c r="AF419" s="4"/>
      <c r="AG419" s="4"/>
      <c r="AH419" s="4"/>
      <c r="AI419" s="4"/>
      <c r="AM419" s="26"/>
      <c r="AN419" s="26"/>
      <c r="AO419" s="26"/>
      <c r="AP419" s="26"/>
    </row>
    <row r="420" spans="1:42" ht="12.75" customHeight="1" x14ac:dyDescent="0.2">
      <c r="A420" s="5"/>
      <c r="B420" s="5"/>
      <c r="C420" s="5"/>
      <c r="E420" s="5"/>
      <c r="F420" s="5"/>
      <c r="N420" s="5"/>
      <c r="O420" s="5"/>
      <c r="X420" s="4"/>
      <c r="Y420" s="4"/>
      <c r="Z420" s="4"/>
      <c r="AA420" s="4"/>
      <c r="AB420" s="4"/>
      <c r="AC420" s="4"/>
      <c r="AD420" s="4"/>
      <c r="AE420" s="25"/>
      <c r="AF420" s="4"/>
      <c r="AG420" s="4"/>
      <c r="AH420" s="4"/>
      <c r="AI420" s="4"/>
      <c r="AM420" s="26"/>
      <c r="AN420" s="26"/>
      <c r="AO420" s="26"/>
      <c r="AP420" s="26"/>
    </row>
    <row r="421" spans="1:42" ht="12.75" customHeight="1" x14ac:dyDescent="0.2">
      <c r="A421" s="5"/>
      <c r="B421" s="5"/>
      <c r="C421" s="5"/>
      <c r="E421" s="5"/>
      <c r="F421" s="5"/>
      <c r="N421" s="5"/>
      <c r="O421" s="5"/>
      <c r="X421" s="4"/>
      <c r="Y421" s="4"/>
      <c r="Z421" s="4"/>
      <c r="AA421" s="4"/>
      <c r="AB421" s="4"/>
      <c r="AC421" s="4"/>
      <c r="AD421" s="4"/>
      <c r="AE421" s="25"/>
      <c r="AF421" s="4"/>
      <c r="AG421" s="4"/>
      <c r="AH421" s="4"/>
      <c r="AI421" s="4"/>
      <c r="AM421" s="26"/>
      <c r="AN421" s="26"/>
      <c r="AO421" s="26"/>
      <c r="AP421" s="26"/>
    </row>
    <row r="422" spans="1:42" ht="12.75" customHeight="1" x14ac:dyDescent="0.2">
      <c r="A422" s="5"/>
      <c r="B422" s="5"/>
      <c r="C422" s="5"/>
      <c r="E422" s="5"/>
      <c r="F422" s="5"/>
      <c r="N422" s="5"/>
      <c r="O422" s="5"/>
      <c r="X422" s="4"/>
      <c r="Y422" s="4"/>
      <c r="Z422" s="4"/>
      <c r="AA422" s="4"/>
      <c r="AB422" s="4"/>
      <c r="AC422" s="4"/>
      <c r="AD422" s="4"/>
      <c r="AE422" s="25"/>
      <c r="AF422" s="4"/>
      <c r="AG422" s="4"/>
      <c r="AH422" s="4"/>
      <c r="AI422" s="4"/>
      <c r="AM422" s="26"/>
      <c r="AN422" s="26"/>
      <c r="AO422" s="26"/>
      <c r="AP422" s="26"/>
    </row>
    <row r="423" spans="1:42" ht="12.75" customHeight="1" x14ac:dyDescent="0.2">
      <c r="A423" s="5"/>
      <c r="B423" s="5"/>
      <c r="C423" s="5"/>
      <c r="E423" s="5"/>
      <c r="F423" s="5"/>
      <c r="N423" s="5"/>
      <c r="O423" s="5"/>
      <c r="X423" s="4"/>
      <c r="Y423" s="4"/>
      <c r="Z423" s="4"/>
      <c r="AA423" s="4"/>
      <c r="AB423" s="4"/>
      <c r="AC423" s="4"/>
      <c r="AD423" s="4"/>
      <c r="AE423" s="25"/>
      <c r="AF423" s="4"/>
      <c r="AG423" s="4"/>
      <c r="AH423" s="4"/>
      <c r="AI423" s="4"/>
      <c r="AM423" s="26"/>
      <c r="AN423" s="26"/>
      <c r="AO423" s="26"/>
      <c r="AP423" s="26"/>
    </row>
    <row r="424" spans="1:42" ht="12.75" customHeight="1" x14ac:dyDescent="0.2">
      <c r="A424" s="5"/>
      <c r="B424" s="5"/>
      <c r="C424" s="5"/>
      <c r="E424" s="5"/>
      <c r="F424" s="5"/>
      <c r="N424" s="5"/>
      <c r="O424" s="5"/>
      <c r="X424" s="4"/>
      <c r="Y424" s="4"/>
      <c r="Z424" s="4"/>
      <c r="AA424" s="4"/>
      <c r="AB424" s="4"/>
      <c r="AC424" s="4"/>
      <c r="AD424" s="4"/>
      <c r="AE424" s="25"/>
      <c r="AF424" s="4"/>
      <c r="AG424" s="4"/>
      <c r="AH424" s="4"/>
      <c r="AI424" s="4"/>
      <c r="AM424" s="26"/>
      <c r="AN424" s="26"/>
      <c r="AO424" s="26"/>
      <c r="AP424" s="26"/>
    </row>
    <row r="425" spans="1:42" ht="12.75" customHeight="1" x14ac:dyDescent="0.2">
      <c r="A425" s="5"/>
      <c r="B425" s="5"/>
      <c r="C425" s="5"/>
      <c r="E425" s="5"/>
      <c r="F425" s="5"/>
      <c r="N425" s="5"/>
      <c r="O425" s="5"/>
      <c r="X425" s="4"/>
      <c r="Y425" s="4"/>
      <c r="Z425" s="4"/>
      <c r="AA425" s="4"/>
      <c r="AB425" s="4"/>
      <c r="AC425" s="4"/>
      <c r="AD425" s="4"/>
      <c r="AE425" s="25"/>
      <c r="AF425" s="4"/>
      <c r="AG425" s="4"/>
      <c r="AH425" s="4"/>
      <c r="AI425" s="4"/>
      <c r="AM425" s="26"/>
      <c r="AN425" s="26"/>
      <c r="AO425" s="26"/>
      <c r="AP425" s="26"/>
    </row>
    <row r="426" spans="1:42" ht="12.75" customHeight="1" x14ac:dyDescent="0.2">
      <c r="A426" s="5"/>
      <c r="B426" s="5"/>
      <c r="C426" s="5"/>
      <c r="E426" s="5"/>
      <c r="F426" s="5"/>
      <c r="N426" s="5"/>
      <c r="O426" s="5"/>
      <c r="X426" s="4"/>
      <c r="Y426" s="4"/>
      <c r="Z426" s="4"/>
      <c r="AA426" s="4"/>
      <c r="AB426" s="4"/>
      <c r="AC426" s="4"/>
      <c r="AD426" s="4"/>
      <c r="AE426" s="25"/>
      <c r="AF426" s="4"/>
      <c r="AG426" s="4"/>
      <c r="AH426" s="4"/>
      <c r="AI426" s="4"/>
      <c r="AM426" s="26"/>
      <c r="AN426" s="26"/>
      <c r="AO426" s="26"/>
      <c r="AP426" s="26"/>
    </row>
    <row r="427" spans="1:42" ht="12.75" customHeight="1" x14ac:dyDescent="0.2">
      <c r="A427" s="5"/>
      <c r="B427" s="5"/>
      <c r="C427" s="5"/>
      <c r="E427" s="5"/>
      <c r="F427" s="5"/>
      <c r="N427" s="5"/>
      <c r="O427" s="5"/>
      <c r="X427" s="4"/>
      <c r="Y427" s="4"/>
      <c r="Z427" s="4"/>
      <c r="AA427" s="4"/>
      <c r="AB427" s="4"/>
      <c r="AC427" s="4"/>
      <c r="AD427" s="4"/>
      <c r="AE427" s="25"/>
      <c r="AF427" s="4"/>
      <c r="AG427" s="4"/>
      <c r="AH427" s="4"/>
      <c r="AI427" s="4"/>
      <c r="AM427" s="26"/>
      <c r="AN427" s="26"/>
      <c r="AO427" s="26"/>
      <c r="AP427" s="26"/>
    </row>
    <row r="428" spans="1:42" ht="12.75" customHeight="1" x14ac:dyDescent="0.2">
      <c r="A428" s="5"/>
      <c r="B428" s="5"/>
      <c r="C428" s="5"/>
      <c r="E428" s="5"/>
      <c r="F428" s="5"/>
      <c r="N428" s="5"/>
      <c r="O428" s="5"/>
      <c r="X428" s="4"/>
      <c r="Y428" s="4"/>
      <c r="Z428" s="4"/>
      <c r="AA428" s="4"/>
      <c r="AB428" s="4"/>
      <c r="AC428" s="4"/>
      <c r="AD428" s="4"/>
      <c r="AE428" s="25"/>
      <c r="AF428" s="4"/>
      <c r="AG428" s="4"/>
      <c r="AH428" s="4"/>
      <c r="AI428" s="4"/>
      <c r="AM428" s="26"/>
      <c r="AN428" s="26"/>
      <c r="AO428" s="26"/>
      <c r="AP428" s="26"/>
    </row>
    <row r="429" spans="1:42" ht="12.75" customHeight="1" x14ac:dyDescent="0.2">
      <c r="A429" s="5"/>
      <c r="B429" s="5"/>
      <c r="C429" s="5"/>
      <c r="E429" s="5"/>
      <c r="F429" s="5"/>
      <c r="N429" s="5"/>
      <c r="O429" s="5"/>
      <c r="X429" s="4"/>
      <c r="Y429" s="4"/>
      <c r="Z429" s="4"/>
      <c r="AA429" s="4"/>
      <c r="AB429" s="4"/>
      <c r="AC429" s="4"/>
      <c r="AD429" s="4"/>
      <c r="AE429" s="25"/>
      <c r="AF429" s="4"/>
      <c r="AG429" s="4"/>
      <c r="AH429" s="4"/>
      <c r="AI429" s="4"/>
      <c r="AM429" s="26"/>
      <c r="AN429" s="26"/>
      <c r="AO429" s="26"/>
      <c r="AP429" s="26"/>
    </row>
    <row r="430" spans="1:42" ht="12.75" customHeight="1" x14ac:dyDescent="0.2">
      <c r="A430" s="5"/>
      <c r="B430" s="5"/>
      <c r="C430" s="5"/>
      <c r="E430" s="5"/>
      <c r="F430" s="5"/>
      <c r="N430" s="5"/>
      <c r="O430" s="5"/>
      <c r="X430" s="4"/>
      <c r="Y430" s="4"/>
      <c r="Z430" s="4"/>
      <c r="AA430" s="4"/>
      <c r="AB430" s="4"/>
      <c r="AC430" s="4"/>
      <c r="AD430" s="4"/>
      <c r="AE430" s="25"/>
      <c r="AF430" s="4"/>
      <c r="AG430" s="4"/>
      <c r="AH430" s="4"/>
      <c r="AI430" s="4"/>
      <c r="AM430" s="26"/>
      <c r="AN430" s="26"/>
      <c r="AO430" s="26"/>
      <c r="AP430" s="26"/>
    </row>
    <row r="431" spans="1:42" ht="12.75" customHeight="1" x14ac:dyDescent="0.2">
      <c r="A431" s="5"/>
      <c r="B431" s="5"/>
      <c r="C431" s="5"/>
      <c r="E431" s="5"/>
      <c r="F431" s="5"/>
      <c r="N431" s="5"/>
      <c r="O431" s="5"/>
      <c r="X431" s="4"/>
      <c r="Y431" s="4"/>
      <c r="Z431" s="4"/>
      <c r="AA431" s="4"/>
      <c r="AB431" s="4"/>
      <c r="AC431" s="4"/>
      <c r="AD431" s="4"/>
      <c r="AE431" s="25"/>
      <c r="AF431" s="4"/>
      <c r="AG431" s="4"/>
      <c r="AH431" s="4"/>
      <c r="AI431" s="4"/>
      <c r="AM431" s="26"/>
      <c r="AN431" s="26"/>
      <c r="AO431" s="26"/>
      <c r="AP431" s="26"/>
    </row>
    <row r="432" spans="1:42" ht="12.75" customHeight="1" x14ac:dyDescent="0.2">
      <c r="A432" s="5"/>
      <c r="B432" s="5"/>
      <c r="C432" s="5"/>
      <c r="E432" s="5"/>
      <c r="F432" s="5"/>
      <c r="N432" s="5"/>
      <c r="O432" s="5"/>
      <c r="X432" s="4"/>
      <c r="Y432" s="4"/>
      <c r="Z432" s="4"/>
      <c r="AA432" s="4"/>
      <c r="AB432" s="4"/>
      <c r="AC432" s="4"/>
      <c r="AD432" s="4"/>
      <c r="AE432" s="25"/>
      <c r="AF432" s="4"/>
      <c r="AG432" s="4"/>
      <c r="AH432" s="4"/>
      <c r="AI432" s="4"/>
      <c r="AM432" s="26"/>
      <c r="AN432" s="26"/>
      <c r="AO432" s="26"/>
      <c r="AP432" s="26"/>
    </row>
    <row r="433" spans="1:42" ht="12.75" customHeight="1" x14ac:dyDescent="0.2">
      <c r="A433" s="5"/>
      <c r="B433" s="5"/>
      <c r="C433" s="5"/>
      <c r="E433" s="5"/>
      <c r="F433" s="5"/>
      <c r="N433" s="5"/>
      <c r="O433" s="5"/>
      <c r="X433" s="4"/>
      <c r="Y433" s="4"/>
      <c r="Z433" s="4"/>
      <c r="AA433" s="4"/>
      <c r="AB433" s="4"/>
      <c r="AC433" s="4"/>
      <c r="AD433" s="4"/>
      <c r="AE433" s="25"/>
      <c r="AF433" s="4"/>
      <c r="AG433" s="4"/>
      <c r="AH433" s="4"/>
      <c r="AI433" s="4"/>
      <c r="AM433" s="26"/>
      <c r="AN433" s="26"/>
      <c r="AO433" s="26"/>
      <c r="AP433" s="26"/>
    </row>
    <row r="434" spans="1:42" ht="12.75" customHeight="1" x14ac:dyDescent="0.2">
      <c r="A434" s="5"/>
      <c r="B434" s="5"/>
      <c r="C434" s="5"/>
      <c r="E434" s="5"/>
      <c r="F434" s="5"/>
      <c r="N434" s="5"/>
      <c r="O434" s="5"/>
      <c r="X434" s="4"/>
      <c r="Y434" s="4"/>
      <c r="Z434" s="4"/>
      <c r="AA434" s="4"/>
      <c r="AB434" s="4"/>
      <c r="AC434" s="4"/>
      <c r="AD434" s="4"/>
      <c r="AE434" s="25"/>
      <c r="AF434" s="4"/>
      <c r="AG434" s="4"/>
      <c r="AH434" s="4"/>
      <c r="AI434" s="4"/>
      <c r="AM434" s="26"/>
      <c r="AN434" s="26"/>
      <c r="AO434" s="26"/>
      <c r="AP434" s="26"/>
    </row>
    <row r="435" spans="1:42" ht="12.75" customHeight="1" x14ac:dyDescent="0.2">
      <c r="A435" s="5"/>
      <c r="B435" s="5"/>
      <c r="C435" s="5"/>
      <c r="E435" s="5"/>
      <c r="F435" s="5"/>
      <c r="N435" s="5"/>
      <c r="O435" s="5"/>
      <c r="X435" s="4"/>
      <c r="Y435" s="4"/>
      <c r="Z435" s="4"/>
      <c r="AA435" s="4"/>
      <c r="AB435" s="4"/>
      <c r="AC435" s="4"/>
      <c r="AD435" s="4"/>
      <c r="AE435" s="25"/>
      <c r="AF435" s="4"/>
      <c r="AG435" s="4"/>
      <c r="AH435" s="4"/>
      <c r="AI435" s="4"/>
      <c r="AM435" s="26"/>
      <c r="AN435" s="26"/>
      <c r="AO435" s="26"/>
      <c r="AP435" s="26"/>
    </row>
    <row r="436" spans="1:42" ht="12.75" customHeight="1" x14ac:dyDescent="0.2">
      <c r="A436" s="5"/>
      <c r="B436" s="5"/>
      <c r="C436" s="5"/>
      <c r="E436" s="5"/>
      <c r="F436" s="5"/>
      <c r="N436" s="5"/>
      <c r="O436" s="5"/>
      <c r="X436" s="4"/>
      <c r="Y436" s="4"/>
      <c r="Z436" s="4"/>
      <c r="AA436" s="4"/>
      <c r="AB436" s="4"/>
      <c r="AC436" s="4"/>
      <c r="AD436" s="4"/>
      <c r="AE436" s="25"/>
      <c r="AF436" s="4"/>
      <c r="AG436" s="4"/>
      <c r="AH436" s="4"/>
      <c r="AI436" s="4"/>
      <c r="AM436" s="26"/>
      <c r="AN436" s="26"/>
      <c r="AO436" s="26"/>
      <c r="AP436" s="26"/>
    </row>
    <row r="437" spans="1:42" ht="12.75" customHeight="1" x14ac:dyDescent="0.2">
      <c r="A437" s="5"/>
      <c r="B437" s="5"/>
      <c r="C437" s="5"/>
      <c r="E437" s="5"/>
      <c r="F437" s="5"/>
      <c r="N437" s="5"/>
      <c r="O437" s="5"/>
      <c r="X437" s="4"/>
      <c r="Y437" s="4"/>
      <c r="Z437" s="4"/>
      <c r="AA437" s="4"/>
      <c r="AB437" s="4"/>
      <c r="AC437" s="4"/>
      <c r="AD437" s="4"/>
      <c r="AE437" s="25"/>
      <c r="AF437" s="4"/>
      <c r="AG437" s="4"/>
      <c r="AH437" s="4"/>
      <c r="AI437" s="4"/>
      <c r="AM437" s="26"/>
      <c r="AN437" s="26"/>
      <c r="AO437" s="26"/>
      <c r="AP437" s="26"/>
    </row>
    <row r="438" spans="1:42" ht="12.75" customHeight="1" x14ac:dyDescent="0.2">
      <c r="A438" s="5"/>
      <c r="B438" s="5"/>
      <c r="C438" s="5"/>
      <c r="E438" s="5"/>
      <c r="F438" s="5"/>
      <c r="N438" s="5"/>
      <c r="O438" s="5"/>
      <c r="X438" s="4"/>
      <c r="Y438" s="4"/>
      <c r="Z438" s="4"/>
      <c r="AA438" s="4"/>
      <c r="AB438" s="4"/>
      <c r="AC438" s="4"/>
      <c r="AD438" s="4"/>
      <c r="AE438" s="25"/>
      <c r="AF438" s="4"/>
      <c r="AG438" s="4"/>
      <c r="AH438" s="4"/>
      <c r="AI438" s="4"/>
      <c r="AM438" s="26"/>
      <c r="AN438" s="26"/>
      <c r="AO438" s="26"/>
      <c r="AP438" s="26"/>
    </row>
    <row r="439" spans="1:42" ht="12.75" customHeight="1" x14ac:dyDescent="0.2">
      <c r="A439" s="5"/>
      <c r="B439" s="5"/>
      <c r="C439" s="5"/>
      <c r="E439" s="5"/>
      <c r="F439" s="5"/>
      <c r="N439" s="5"/>
      <c r="O439" s="5"/>
      <c r="X439" s="4"/>
      <c r="Y439" s="4"/>
      <c r="Z439" s="4"/>
      <c r="AA439" s="4"/>
      <c r="AB439" s="4"/>
      <c r="AC439" s="4"/>
      <c r="AD439" s="4"/>
      <c r="AE439" s="25"/>
      <c r="AF439" s="4"/>
      <c r="AG439" s="4"/>
      <c r="AH439" s="4"/>
      <c r="AI439" s="4"/>
      <c r="AM439" s="26"/>
      <c r="AN439" s="26"/>
      <c r="AO439" s="26"/>
      <c r="AP439" s="26"/>
    </row>
    <row r="440" spans="1:42" ht="12.75" customHeight="1" x14ac:dyDescent="0.2">
      <c r="A440" s="5"/>
      <c r="B440" s="5"/>
      <c r="C440" s="5"/>
      <c r="E440" s="5"/>
      <c r="F440" s="5"/>
      <c r="N440" s="5"/>
      <c r="O440" s="5"/>
      <c r="X440" s="4"/>
      <c r="Y440" s="4"/>
      <c r="Z440" s="4"/>
      <c r="AA440" s="4"/>
      <c r="AB440" s="4"/>
      <c r="AC440" s="4"/>
      <c r="AD440" s="4"/>
      <c r="AE440" s="25"/>
      <c r="AF440" s="4"/>
      <c r="AG440" s="4"/>
      <c r="AH440" s="4"/>
      <c r="AI440" s="4"/>
      <c r="AM440" s="26"/>
      <c r="AN440" s="26"/>
      <c r="AO440" s="26"/>
      <c r="AP440" s="26"/>
    </row>
    <row r="441" spans="1:42" ht="12.75" customHeight="1" x14ac:dyDescent="0.2">
      <c r="A441" s="5"/>
      <c r="B441" s="5"/>
      <c r="C441" s="5"/>
      <c r="E441" s="5"/>
      <c r="F441" s="5"/>
      <c r="N441" s="5"/>
      <c r="O441" s="5"/>
      <c r="X441" s="4"/>
      <c r="Y441" s="4"/>
      <c r="Z441" s="4"/>
      <c r="AA441" s="4"/>
      <c r="AB441" s="4"/>
      <c r="AC441" s="4"/>
      <c r="AD441" s="4"/>
      <c r="AE441" s="25"/>
      <c r="AF441" s="4"/>
      <c r="AG441" s="4"/>
      <c r="AH441" s="4"/>
      <c r="AI441" s="4"/>
      <c r="AM441" s="26"/>
      <c r="AN441" s="26"/>
      <c r="AO441" s="26"/>
      <c r="AP441" s="26"/>
    </row>
    <row r="442" spans="1:42" ht="12.75" customHeight="1" x14ac:dyDescent="0.2">
      <c r="A442" s="5"/>
      <c r="B442" s="5"/>
      <c r="C442" s="5"/>
      <c r="E442" s="5"/>
      <c r="F442" s="5"/>
      <c r="N442" s="5"/>
      <c r="O442" s="5"/>
      <c r="X442" s="4"/>
      <c r="Y442" s="4"/>
      <c r="Z442" s="4"/>
      <c r="AA442" s="4"/>
      <c r="AB442" s="4"/>
      <c r="AC442" s="4"/>
      <c r="AD442" s="4"/>
      <c r="AE442" s="25"/>
      <c r="AF442" s="4"/>
      <c r="AG442" s="4"/>
      <c r="AH442" s="4"/>
      <c r="AI442" s="4"/>
      <c r="AM442" s="26"/>
      <c r="AN442" s="26"/>
      <c r="AO442" s="26"/>
      <c r="AP442" s="26"/>
    </row>
    <row r="443" spans="1:42" ht="12.75" customHeight="1" x14ac:dyDescent="0.2">
      <c r="A443" s="5"/>
      <c r="B443" s="5"/>
      <c r="C443" s="5"/>
      <c r="E443" s="5"/>
      <c r="F443" s="5"/>
      <c r="N443" s="5"/>
      <c r="O443" s="5"/>
      <c r="X443" s="4"/>
      <c r="Y443" s="4"/>
      <c r="Z443" s="4"/>
      <c r="AA443" s="4"/>
      <c r="AB443" s="4"/>
      <c r="AC443" s="4"/>
      <c r="AD443" s="4"/>
      <c r="AE443" s="25"/>
      <c r="AF443" s="4"/>
      <c r="AG443" s="4"/>
      <c r="AH443" s="4"/>
      <c r="AI443" s="4"/>
      <c r="AM443" s="26"/>
      <c r="AN443" s="26"/>
      <c r="AO443" s="26"/>
      <c r="AP443" s="26"/>
    </row>
    <row r="444" spans="1:42" ht="12.75" customHeight="1" x14ac:dyDescent="0.2">
      <c r="A444" s="5"/>
      <c r="B444" s="5"/>
      <c r="C444" s="5"/>
      <c r="E444" s="5"/>
      <c r="F444" s="5"/>
      <c r="N444" s="5"/>
      <c r="O444" s="5"/>
      <c r="X444" s="4"/>
      <c r="Y444" s="4"/>
      <c r="Z444" s="4"/>
      <c r="AA444" s="4"/>
      <c r="AB444" s="4"/>
      <c r="AC444" s="4"/>
      <c r="AD444" s="4"/>
      <c r="AE444" s="25"/>
      <c r="AF444" s="4"/>
      <c r="AG444" s="4"/>
      <c r="AH444" s="4"/>
      <c r="AI444" s="4"/>
      <c r="AM444" s="26"/>
      <c r="AN444" s="26"/>
      <c r="AO444" s="26"/>
      <c r="AP444" s="26"/>
    </row>
    <row r="445" spans="1:42" ht="12.75" customHeight="1" x14ac:dyDescent="0.2">
      <c r="A445" s="5"/>
      <c r="B445" s="5"/>
      <c r="C445" s="5"/>
      <c r="E445" s="5"/>
      <c r="F445" s="5"/>
      <c r="N445" s="5"/>
      <c r="O445" s="5"/>
      <c r="X445" s="4"/>
      <c r="Y445" s="4"/>
      <c r="Z445" s="4"/>
      <c r="AA445" s="4"/>
      <c r="AB445" s="4"/>
      <c r="AC445" s="4"/>
      <c r="AD445" s="4"/>
      <c r="AE445" s="25"/>
      <c r="AF445" s="4"/>
      <c r="AG445" s="4"/>
      <c r="AH445" s="4"/>
      <c r="AI445" s="4"/>
      <c r="AM445" s="26"/>
      <c r="AN445" s="26"/>
      <c r="AO445" s="26"/>
      <c r="AP445" s="26"/>
    </row>
    <row r="446" spans="1:42" ht="12.75" customHeight="1" x14ac:dyDescent="0.2">
      <c r="A446" s="5"/>
      <c r="B446" s="5"/>
      <c r="C446" s="5"/>
      <c r="E446" s="5"/>
      <c r="F446" s="5"/>
      <c r="N446" s="5"/>
      <c r="O446" s="5"/>
      <c r="X446" s="4"/>
      <c r="Y446" s="4"/>
      <c r="Z446" s="4"/>
      <c r="AA446" s="4"/>
      <c r="AB446" s="4"/>
      <c r="AC446" s="4"/>
      <c r="AD446" s="4"/>
      <c r="AE446" s="25"/>
      <c r="AF446" s="4"/>
      <c r="AG446" s="4"/>
      <c r="AH446" s="4"/>
      <c r="AI446" s="4"/>
      <c r="AM446" s="26"/>
      <c r="AN446" s="26"/>
      <c r="AO446" s="26"/>
      <c r="AP446" s="26"/>
    </row>
    <row r="447" spans="1:42" ht="12.75" customHeight="1" x14ac:dyDescent="0.2">
      <c r="A447" s="5"/>
      <c r="B447" s="5"/>
      <c r="C447" s="5"/>
      <c r="E447" s="5"/>
      <c r="F447" s="5"/>
      <c r="N447" s="5"/>
      <c r="O447" s="5"/>
      <c r="X447" s="4"/>
      <c r="Y447" s="4"/>
      <c r="Z447" s="4"/>
      <c r="AA447" s="4"/>
      <c r="AB447" s="4"/>
      <c r="AC447" s="4"/>
      <c r="AD447" s="4"/>
      <c r="AE447" s="25"/>
      <c r="AF447" s="4"/>
      <c r="AG447" s="4"/>
      <c r="AH447" s="4"/>
      <c r="AI447" s="4"/>
      <c r="AM447" s="26"/>
      <c r="AN447" s="26"/>
      <c r="AO447" s="26"/>
      <c r="AP447" s="26"/>
    </row>
    <row r="448" spans="1:42" ht="12.75" customHeight="1" x14ac:dyDescent="0.2">
      <c r="A448" s="5"/>
      <c r="B448" s="5"/>
      <c r="C448" s="5"/>
      <c r="E448" s="5"/>
      <c r="F448" s="5"/>
      <c r="N448" s="5"/>
      <c r="O448" s="5"/>
      <c r="X448" s="4"/>
      <c r="Y448" s="4"/>
      <c r="Z448" s="4"/>
      <c r="AA448" s="4"/>
      <c r="AB448" s="4"/>
      <c r="AC448" s="4"/>
      <c r="AD448" s="4"/>
      <c r="AE448" s="25"/>
      <c r="AF448" s="4"/>
      <c r="AG448" s="4"/>
      <c r="AH448" s="4"/>
      <c r="AI448" s="4"/>
      <c r="AM448" s="26"/>
      <c r="AN448" s="26"/>
      <c r="AO448" s="26"/>
      <c r="AP448" s="26"/>
    </row>
    <row r="449" spans="1:42" ht="12.75" customHeight="1" x14ac:dyDescent="0.2">
      <c r="A449" s="5"/>
      <c r="B449" s="5"/>
      <c r="C449" s="5"/>
      <c r="E449" s="5"/>
      <c r="F449" s="5"/>
      <c r="N449" s="5"/>
      <c r="O449" s="5"/>
      <c r="X449" s="4"/>
      <c r="Y449" s="4"/>
      <c r="Z449" s="4"/>
      <c r="AA449" s="4"/>
      <c r="AB449" s="4"/>
      <c r="AC449" s="4"/>
      <c r="AD449" s="4"/>
      <c r="AE449" s="25"/>
      <c r="AF449" s="4"/>
      <c r="AG449" s="4"/>
      <c r="AH449" s="4"/>
      <c r="AI449" s="4"/>
      <c r="AM449" s="26"/>
      <c r="AN449" s="26"/>
      <c r="AO449" s="26"/>
      <c r="AP449" s="26"/>
    </row>
    <row r="450" spans="1:42" ht="12.75" customHeight="1" x14ac:dyDescent="0.2">
      <c r="A450" s="5"/>
      <c r="B450" s="5"/>
      <c r="C450" s="5"/>
      <c r="E450" s="5"/>
      <c r="F450" s="5"/>
      <c r="N450" s="5"/>
      <c r="O450" s="5"/>
      <c r="X450" s="4"/>
      <c r="Y450" s="4"/>
      <c r="Z450" s="4"/>
      <c r="AA450" s="4"/>
      <c r="AB450" s="4"/>
      <c r="AC450" s="4"/>
      <c r="AD450" s="4"/>
      <c r="AE450" s="25"/>
      <c r="AF450" s="4"/>
      <c r="AG450" s="4"/>
      <c r="AH450" s="4"/>
      <c r="AI450" s="4"/>
      <c r="AM450" s="26"/>
      <c r="AN450" s="26"/>
      <c r="AO450" s="26"/>
      <c r="AP450" s="26"/>
    </row>
    <row r="451" spans="1:42" ht="12.75" customHeight="1" x14ac:dyDescent="0.2">
      <c r="A451" s="5"/>
      <c r="B451" s="5"/>
      <c r="C451" s="5"/>
      <c r="E451" s="5"/>
      <c r="F451" s="5"/>
      <c r="N451" s="5"/>
      <c r="O451" s="5"/>
      <c r="X451" s="4"/>
      <c r="Y451" s="4"/>
      <c r="Z451" s="4"/>
      <c r="AA451" s="4"/>
      <c r="AB451" s="4"/>
      <c r="AC451" s="4"/>
      <c r="AD451" s="4"/>
      <c r="AE451" s="25"/>
      <c r="AF451" s="4"/>
      <c r="AG451" s="4"/>
      <c r="AH451" s="4"/>
      <c r="AI451" s="4"/>
      <c r="AM451" s="26"/>
      <c r="AN451" s="26"/>
      <c r="AO451" s="26"/>
      <c r="AP451" s="26"/>
    </row>
    <row r="452" spans="1:42" ht="12.75" customHeight="1" x14ac:dyDescent="0.2">
      <c r="A452" s="5"/>
      <c r="B452" s="5"/>
      <c r="C452" s="5"/>
      <c r="E452" s="5"/>
      <c r="F452" s="5"/>
      <c r="N452" s="5"/>
      <c r="O452" s="5"/>
      <c r="X452" s="4"/>
      <c r="Y452" s="4"/>
      <c r="Z452" s="4"/>
      <c r="AA452" s="4"/>
      <c r="AB452" s="4"/>
      <c r="AC452" s="4"/>
      <c r="AD452" s="4"/>
      <c r="AE452" s="25"/>
      <c r="AF452" s="4"/>
      <c r="AG452" s="4"/>
      <c r="AH452" s="4"/>
      <c r="AI452" s="4"/>
      <c r="AM452" s="26"/>
      <c r="AN452" s="26"/>
      <c r="AO452" s="26"/>
      <c r="AP452" s="26"/>
    </row>
    <row r="453" spans="1:42" ht="12.75" customHeight="1" x14ac:dyDescent="0.2">
      <c r="A453" s="5"/>
      <c r="B453" s="5"/>
      <c r="C453" s="5"/>
      <c r="E453" s="5"/>
      <c r="F453" s="5"/>
      <c r="N453" s="5"/>
      <c r="O453" s="5"/>
      <c r="X453" s="4"/>
      <c r="Y453" s="4"/>
      <c r="Z453" s="4"/>
      <c r="AA453" s="4"/>
      <c r="AB453" s="4"/>
      <c r="AC453" s="4"/>
      <c r="AD453" s="4"/>
      <c r="AE453" s="25"/>
      <c r="AF453" s="4"/>
      <c r="AG453" s="4"/>
      <c r="AH453" s="4"/>
      <c r="AI453" s="4"/>
      <c r="AM453" s="26"/>
      <c r="AN453" s="26"/>
      <c r="AO453" s="26"/>
      <c r="AP453" s="26"/>
    </row>
    <row r="454" spans="1:42" ht="12.75" customHeight="1" x14ac:dyDescent="0.2">
      <c r="A454" s="5"/>
      <c r="B454" s="5"/>
      <c r="C454" s="5"/>
      <c r="E454" s="5"/>
      <c r="F454" s="5"/>
      <c r="N454" s="5"/>
      <c r="O454" s="5"/>
      <c r="X454" s="4"/>
      <c r="Y454" s="4"/>
      <c r="Z454" s="4"/>
      <c r="AA454" s="4"/>
      <c r="AB454" s="4"/>
      <c r="AC454" s="4"/>
      <c r="AD454" s="4"/>
      <c r="AE454" s="25"/>
      <c r="AF454" s="4"/>
      <c r="AG454" s="4"/>
      <c r="AH454" s="4"/>
      <c r="AI454" s="4"/>
      <c r="AM454" s="26"/>
      <c r="AN454" s="26"/>
      <c r="AO454" s="26"/>
      <c r="AP454" s="26"/>
    </row>
    <row r="455" spans="1:42" ht="12.75" customHeight="1" x14ac:dyDescent="0.2">
      <c r="A455" s="5"/>
      <c r="B455" s="5"/>
      <c r="C455" s="5"/>
      <c r="E455" s="5"/>
      <c r="F455" s="5"/>
      <c r="N455" s="5"/>
      <c r="O455" s="5"/>
      <c r="X455" s="4"/>
      <c r="Y455" s="4"/>
      <c r="Z455" s="4"/>
      <c r="AA455" s="4"/>
      <c r="AB455" s="4"/>
      <c r="AC455" s="4"/>
      <c r="AD455" s="4"/>
      <c r="AE455" s="25"/>
      <c r="AF455" s="4"/>
      <c r="AG455" s="4"/>
      <c r="AH455" s="4"/>
      <c r="AI455" s="4"/>
      <c r="AM455" s="26"/>
      <c r="AN455" s="26"/>
      <c r="AO455" s="26"/>
      <c r="AP455" s="26"/>
    </row>
    <row r="456" spans="1:42" ht="12.75" customHeight="1" x14ac:dyDescent="0.2">
      <c r="A456" s="5"/>
      <c r="B456" s="5"/>
      <c r="C456" s="5"/>
      <c r="E456" s="5"/>
      <c r="F456" s="5"/>
      <c r="N456" s="5"/>
      <c r="O456" s="5"/>
      <c r="X456" s="4"/>
      <c r="Y456" s="4"/>
      <c r="Z456" s="4"/>
      <c r="AA456" s="4"/>
      <c r="AB456" s="4"/>
      <c r="AC456" s="4"/>
      <c r="AD456" s="4"/>
      <c r="AE456" s="25"/>
      <c r="AF456" s="4"/>
      <c r="AG456" s="4"/>
      <c r="AH456" s="4"/>
      <c r="AI456" s="4"/>
      <c r="AM456" s="26"/>
      <c r="AN456" s="26"/>
      <c r="AO456" s="26"/>
      <c r="AP456" s="26"/>
    </row>
    <row r="457" spans="1:42" ht="12.75" customHeight="1" x14ac:dyDescent="0.2">
      <c r="A457" s="5"/>
      <c r="B457" s="5"/>
      <c r="C457" s="5"/>
      <c r="E457" s="5"/>
      <c r="F457" s="5"/>
      <c r="N457" s="5"/>
      <c r="O457" s="5"/>
      <c r="X457" s="4"/>
      <c r="Y457" s="4"/>
      <c r="Z457" s="4"/>
      <c r="AA457" s="4"/>
      <c r="AB457" s="4"/>
      <c r="AC457" s="4"/>
      <c r="AD457" s="4"/>
      <c r="AE457" s="25"/>
      <c r="AF457" s="4"/>
      <c r="AG457" s="4"/>
      <c r="AH457" s="4"/>
      <c r="AI457" s="4"/>
      <c r="AM457" s="26"/>
      <c r="AN457" s="26"/>
      <c r="AO457" s="26"/>
      <c r="AP457" s="26"/>
    </row>
    <row r="458" spans="1:42" ht="12.75" customHeight="1" x14ac:dyDescent="0.2">
      <c r="A458" s="5"/>
      <c r="B458" s="5"/>
      <c r="C458" s="5"/>
      <c r="E458" s="5"/>
      <c r="F458" s="5"/>
      <c r="N458" s="5"/>
      <c r="O458" s="5"/>
      <c r="X458" s="4"/>
      <c r="Y458" s="4"/>
      <c r="Z458" s="4"/>
      <c r="AA458" s="4"/>
      <c r="AB458" s="4"/>
      <c r="AC458" s="4"/>
      <c r="AD458" s="4"/>
      <c r="AE458" s="25"/>
      <c r="AF458" s="4"/>
      <c r="AG458" s="4"/>
      <c r="AH458" s="4"/>
      <c r="AI458" s="4"/>
      <c r="AM458" s="26"/>
      <c r="AN458" s="26"/>
      <c r="AO458" s="26"/>
      <c r="AP458" s="26"/>
    </row>
    <row r="459" spans="1:42" ht="12.75" customHeight="1" x14ac:dyDescent="0.2">
      <c r="A459" s="5"/>
      <c r="B459" s="5"/>
      <c r="C459" s="5"/>
      <c r="E459" s="5"/>
      <c r="F459" s="5"/>
      <c r="N459" s="5"/>
      <c r="O459" s="5"/>
      <c r="X459" s="4"/>
      <c r="Y459" s="4"/>
      <c r="Z459" s="4"/>
      <c r="AA459" s="4"/>
      <c r="AB459" s="4"/>
      <c r="AC459" s="4"/>
      <c r="AD459" s="4"/>
      <c r="AE459" s="25"/>
      <c r="AF459" s="4"/>
      <c r="AG459" s="4"/>
      <c r="AH459" s="4"/>
      <c r="AI459" s="4"/>
      <c r="AM459" s="26"/>
      <c r="AN459" s="26"/>
      <c r="AO459" s="26"/>
      <c r="AP459" s="26"/>
    </row>
    <row r="460" spans="1:42" ht="12.75" customHeight="1" x14ac:dyDescent="0.2">
      <c r="A460" s="5"/>
      <c r="B460" s="5"/>
      <c r="C460" s="5"/>
      <c r="E460" s="5"/>
      <c r="F460" s="5"/>
      <c r="N460" s="5"/>
      <c r="O460" s="5"/>
      <c r="X460" s="4"/>
      <c r="Y460" s="4"/>
      <c r="Z460" s="4"/>
      <c r="AA460" s="4"/>
      <c r="AB460" s="4"/>
      <c r="AC460" s="4"/>
      <c r="AD460" s="4"/>
      <c r="AE460" s="25"/>
      <c r="AF460" s="4"/>
      <c r="AG460" s="4"/>
      <c r="AH460" s="4"/>
      <c r="AI460" s="4"/>
      <c r="AM460" s="26"/>
      <c r="AN460" s="26"/>
      <c r="AO460" s="26"/>
      <c r="AP460" s="26"/>
    </row>
    <row r="461" spans="1:42" ht="12.75" customHeight="1" x14ac:dyDescent="0.2">
      <c r="A461" s="5"/>
      <c r="B461" s="5"/>
      <c r="C461" s="5"/>
      <c r="E461" s="5"/>
      <c r="F461" s="5"/>
      <c r="N461" s="5"/>
      <c r="O461" s="5"/>
      <c r="X461" s="4"/>
      <c r="Y461" s="4"/>
      <c r="Z461" s="4"/>
      <c r="AA461" s="4"/>
      <c r="AB461" s="4"/>
      <c r="AC461" s="4"/>
      <c r="AD461" s="4"/>
      <c r="AE461" s="25"/>
      <c r="AF461" s="4"/>
      <c r="AG461" s="4"/>
      <c r="AH461" s="4"/>
      <c r="AI461" s="4"/>
      <c r="AM461" s="26"/>
      <c r="AN461" s="26"/>
      <c r="AO461" s="26"/>
      <c r="AP461" s="26"/>
    </row>
    <row r="462" spans="1:42" ht="12.75" customHeight="1" x14ac:dyDescent="0.2">
      <c r="A462" s="5"/>
      <c r="B462" s="5"/>
      <c r="C462" s="5"/>
      <c r="E462" s="5"/>
      <c r="F462" s="5"/>
      <c r="N462" s="5"/>
      <c r="O462" s="5"/>
      <c r="X462" s="4"/>
      <c r="Y462" s="4"/>
      <c r="Z462" s="4"/>
      <c r="AA462" s="4"/>
      <c r="AB462" s="4"/>
      <c r="AC462" s="4"/>
      <c r="AD462" s="4"/>
      <c r="AE462" s="25"/>
      <c r="AF462" s="4"/>
      <c r="AG462" s="4"/>
      <c r="AH462" s="4"/>
      <c r="AI462" s="4"/>
      <c r="AM462" s="26"/>
      <c r="AN462" s="26"/>
      <c r="AO462" s="26"/>
      <c r="AP462" s="26"/>
    </row>
    <row r="463" spans="1:42" ht="12.75" customHeight="1" x14ac:dyDescent="0.2">
      <c r="A463" s="5"/>
      <c r="B463" s="5"/>
      <c r="C463" s="5"/>
      <c r="E463" s="5"/>
      <c r="F463" s="5"/>
      <c r="N463" s="5"/>
      <c r="O463" s="5"/>
      <c r="X463" s="4"/>
      <c r="Y463" s="4"/>
      <c r="Z463" s="4"/>
      <c r="AA463" s="4"/>
      <c r="AB463" s="4"/>
      <c r="AC463" s="4"/>
      <c r="AD463" s="4"/>
      <c r="AE463" s="25"/>
      <c r="AF463" s="4"/>
      <c r="AG463" s="4"/>
      <c r="AH463" s="4"/>
      <c r="AI463" s="4"/>
      <c r="AM463" s="26"/>
      <c r="AN463" s="26"/>
      <c r="AO463" s="26"/>
      <c r="AP463" s="26"/>
    </row>
    <row r="464" spans="1:42" ht="12.75" customHeight="1" x14ac:dyDescent="0.2">
      <c r="A464" s="5"/>
      <c r="B464" s="5"/>
      <c r="C464" s="5"/>
      <c r="E464" s="5"/>
      <c r="F464" s="5"/>
      <c r="N464" s="5"/>
      <c r="O464" s="5"/>
      <c r="X464" s="4"/>
      <c r="Y464" s="4"/>
      <c r="Z464" s="4"/>
      <c r="AA464" s="4"/>
      <c r="AB464" s="4"/>
      <c r="AC464" s="4"/>
      <c r="AD464" s="4"/>
      <c r="AE464" s="25"/>
      <c r="AF464" s="4"/>
      <c r="AG464" s="4"/>
      <c r="AH464" s="4"/>
      <c r="AI464" s="4"/>
      <c r="AM464" s="26"/>
      <c r="AN464" s="26"/>
      <c r="AO464" s="26"/>
      <c r="AP464" s="26"/>
    </row>
    <row r="465" spans="1:42" ht="12.75" customHeight="1" x14ac:dyDescent="0.2">
      <c r="A465" s="5"/>
      <c r="B465" s="5"/>
      <c r="C465" s="5"/>
      <c r="E465" s="5"/>
      <c r="F465" s="5"/>
      <c r="N465" s="5"/>
      <c r="O465" s="5"/>
      <c r="X465" s="4"/>
      <c r="Y465" s="4"/>
      <c r="Z465" s="4"/>
      <c r="AA465" s="4"/>
      <c r="AB465" s="4"/>
      <c r="AC465" s="4"/>
      <c r="AD465" s="4"/>
      <c r="AE465" s="25"/>
      <c r="AF465" s="4"/>
      <c r="AG465" s="4"/>
      <c r="AH465" s="4"/>
      <c r="AI465" s="4"/>
      <c r="AM465" s="26"/>
      <c r="AN465" s="26"/>
      <c r="AO465" s="26"/>
      <c r="AP465" s="26"/>
    </row>
    <row r="466" spans="1:42" ht="12.75" customHeight="1" x14ac:dyDescent="0.2">
      <c r="A466" s="5"/>
      <c r="B466" s="5"/>
      <c r="C466" s="5"/>
      <c r="E466" s="5"/>
      <c r="F466" s="5"/>
      <c r="N466" s="5"/>
      <c r="O466" s="5"/>
      <c r="X466" s="4"/>
      <c r="Y466" s="4"/>
      <c r="Z466" s="4"/>
      <c r="AA466" s="4"/>
      <c r="AB466" s="4"/>
      <c r="AC466" s="4"/>
      <c r="AD466" s="4"/>
      <c r="AE466" s="25"/>
      <c r="AF466" s="4"/>
      <c r="AG466" s="4"/>
      <c r="AH466" s="4"/>
      <c r="AI466" s="4"/>
      <c r="AM466" s="26"/>
      <c r="AN466" s="26"/>
      <c r="AO466" s="26"/>
      <c r="AP466" s="26"/>
    </row>
    <row r="467" spans="1:42" ht="12.75" customHeight="1" x14ac:dyDescent="0.2">
      <c r="A467" s="5"/>
      <c r="B467" s="5"/>
      <c r="C467" s="5"/>
      <c r="E467" s="5"/>
      <c r="F467" s="5"/>
      <c r="N467" s="5"/>
      <c r="O467" s="5"/>
      <c r="X467" s="4"/>
      <c r="Y467" s="4"/>
      <c r="Z467" s="4"/>
      <c r="AA467" s="4"/>
      <c r="AB467" s="4"/>
      <c r="AC467" s="4"/>
      <c r="AD467" s="4"/>
      <c r="AE467" s="25"/>
      <c r="AF467" s="4"/>
      <c r="AG467" s="4"/>
      <c r="AH467" s="4"/>
      <c r="AI467" s="4"/>
      <c r="AM467" s="26"/>
      <c r="AN467" s="26"/>
      <c r="AO467" s="26"/>
      <c r="AP467" s="26"/>
    </row>
    <row r="468" spans="1:42" ht="12.75" customHeight="1" x14ac:dyDescent="0.2">
      <c r="A468" s="5"/>
      <c r="B468" s="5"/>
      <c r="C468" s="5"/>
      <c r="E468" s="5"/>
      <c r="F468" s="5"/>
      <c r="N468" s="5"/>
      <c r="O468" s="5"/>
      <c r="X468" s="4"/>
      <c r="Y468" s="4"/>
      <c r="Z468" s="4"/>
      <c r="AA468" s="4"/>
      <c r="AB468" s="4"/>
      <c r="AC468" s="4"/>
      <c r="AD468" s="4"/>
      <c r="AE468" s="25"/>
      <c r="AF468" s="4"/>
      <c r="AG468" s="4"/>
      <c r="AH468" s="4"/>
      <c r="AI468" s="4"/>
      <c r="AM468" s="26"/>
      <c r="AN468" s="26"/>
      <c r="AO468" s="26"/>
      <c r="AP468" s="26"/>
    </row>
    <row r="469" spans="1:42" ht="12.75" customHeight="1" x14ac:dyDescent="0.2">
      <c r="A469" s="5"/>
      <c r="B469" s="5"/>
      <c r="C469" s="5"/>
      <c r="E469" s="5"/>
      <c r="F469" s="5"/>
      <c r="N469" s="5"/>
      <c r="O469" s="5"/>
      <c r="X469" s="4"/>
      <c r="Y469" s="4"/>
      <c r="Z469" s="4"/>
      <c r="AA469" s="4"/>
      <c r="AB469" s="4"/>
      <c r="AC469" s="4"/>
      <c r="AD469" s="4"/>
      <c r="AE469" s="25"/>
      <c r="AF469" s="4"/>
      <c r="AG469" s="4"/>
      <c r="AH469" s="4"/>
      <c r="AI469" s="4"/>
      <c r="AM469" s="26"/>
      <c r="AN469" s="26"/>
      <c r="AO469" s="26"/>
      <c r="AP469" s="26"/>
    </row>
    <row r="470" spans="1:42" ht="12.75" customHeight="1" x14ac:dyDescent="0.2">
      <c r="A470" s="5"/>
      <c r="B470" s="5"/>
      <c r="C470" s="5"/>
      <c r="E470" s="5"/>
      <c r="F470" s="5"/>
      <c r="N470" s="5"/>
      <c r="O470" s="5"/>
      <c r="X470" s="4"/>
      <c r="Y470" s="4"/>
      <c r="Z470" s="4"/>
      <c r="AA470" s="4"/>
      <c r="AB470" s="4"/>
      <c r="AC470" s="4"/>
      <c r="AD470" s="4"/>
      <c r="AE470" s="25"/>
      <c r="AF470" s="4"/>
      <c r="AG470" s="4"/>
      <c r="AH470" s="4"/>
      <c r="AI470" s="4"/>
      <c r="AM470" s="26"/>
      <c r="AN470" s="26"/>
      <c r="AO470" s="26"/>
      <c r="AP470" s="26"/>
    </row>
    <row r="471" spans="1:42" ht="12.75" customHeight="1" x14ac:dyDescent="0.2">
      <c r="A471" s="5"/>
      <c r="B471" s="5"/>
      <c r="C471" s="5"/>
      <c r="E471" s="5"/>
      <c r="F471" s="5"/>
      <c r="N471" s="5"/>
      <c r="O471" s="5"/>
      <c r="X471" s="4"/>
      <c r="Y471" s="4"/>
      <c r="Z471" s="4"/>
      <c r="AA471" s="4"/>
      <c r="AB471" s="4"/>
      <c r="AC471" s="4"/>
      <c r="AD471" s="4"/>
      <c r="AE471" s="25"/>
      <c r="AF471" s="4"/>
      <c r="AG471" s="4"/>
      <c r="AH471" s="4"/>
      <c r="AI471" s="4"/>
      <c r="AM471" s="26"/>
      <c r="AN471" s="26"/>
      <c r="AO471" s="26"/>
      <c r="AP471" s="26"/>
    </row>
    <row r="472" spans="1:42" ht="12.75" customHeight="1" x14ac:dyDescent="0.2">
      <c r="A472" s="5"/>
      <c r="B472" s="5"/>
      <c r="C472" s="5"/>
      <c r="E472" s="5"/>
      <c r="F472" s="5"/>
      <c r="N472" s="5"/>
      <c r="O472" s="5"/>
      <c r="X472" s="4"/>
      <c r="Y472" s="4"/>
      <c r="Z472" s="4"/>
      <c r="AA472" s="4"/>
      <c r="AB472" s="4"/>
      <c r="AC472" s="4"/>
      <c r="AD472" s="4"/>
      <c r="AE472" s="25"/>
      <c r="AF472" s="4"/>
      <c r="AG472" s="4"/>
      <c r="AH472" s="4"/>
      <c r="AI472" s="4"/>
      <c r="AM472" s="26"/>
      <c r="AN472" s="26"/>
      <c r="AO472" s="26"/>
      <c r="AP472" s="26"/>
    </row>
    <row r="473" spans="1:42" ht="12.75" customHeight="1" x14ac:dyDescent="0.2">
      <c r="A473" s="5"/>
      <c r="B473" s="5"/>
      <c r="C473" s="5"/>
      <c r="E473" s="5"/>
      <c r="F473" s="5"/>
      <c r="N473" s="5"/>
      <c r="O473" s="5"/>
      <c r="X473" s="4"/>
      <c r="Y473" s="4"/>
      <c r="Z473" s="4"/>
      <c r="AA473" s="4"/>
      <c r="AB473" s="4"/>
      <c r="AC473" s="4"/>
      <c r="AD473" s="4"/>
      <c r="AE473" s="25"/>
      <c r="AF473" s="4"/>
      <c r="AG473" s="4"/>
      <c r="AH473" s="4"/>
      <c r="AI473" s="4"/>
      <c r="AM473" s="26"/>
      <c r="AN473" s="26"/>
      <c r="AO473" s="26"/>
      <c r="AP473" s="26"/>
    </row>
    <row r="474" spans="1:42" ht="12.75" customHeight="1" x14ac:dyDescent="0.2">
      <c r="A474" s="5"/>
      <c r="B474" s="5"/>
      <c r="C474" s="5"/>
      <c r="E474" s="5"/>
      <c r="F474" s="5"/>
      <c r="N474" s="5"/>
      <c r="O474" s="5"/>
      <c r="X474" s="4"/>
      <c r="Y474" s="4"/>
      <c r="Z474" s="4"/>
      <c r="AA474" s="4"/>
      <c r="AB474" s="4"/>
      <c r="AC474" s="4"/>
      <c r="AD474" s="4"/>
      <c r="AE474" s="25"/>
      <c r="AF474" s="4"/>
      <c r="AG474" s="4"/>
      <c r="AH474" s="4"/>
      <c r="AI474" s="4"/>
      <c r="AM474" s="26"/>
      <c r="AN474" s="26"/>
      <c r="AO474" s="26"/>
      <c r="AP474" s="26"/>
    </row>
    <row r="475" spans="1:42" ht="12.75" customHeight="1" x14ac:dyDescent="0.2">
      <c r="A475" s="5"/>
      <c r="B475" s="5"/>
      <c r="C475" s="5"/>
      <c r="E475" s="5"/>
      <c r="F475" s="5"/>
      <c r="N475" s="5"/>
      <c r="O475" s="5"/>
      <c r="X475" s="4"/>
      <c r="Y475" s="4"/>
      <c r="Z475" s="4"/>
      <c r="AA475" s="4"/>
      <c r="AB475" s="4"/>
      <c r="AC475" s="4"/>
      <c r="AD475" s="4"/>
      <c r="AE475" s="25"/>
      <c r="AF475" s="4"/>
      <c r="AG475" s="4"/>
      <c r="AH475" s="4"/>
      <c r="AI475" s="4"/>
      <c r="AM475" s="26"/>
      <c r="AN475" s="26"/>
      <c r="AO475" s="26"/>
      <c r="AP475" s="26"/>
    </row>
    <row r="476" spans="1:42" ht="12.75" customHeight="1" x14ac:dyDescent="0.2">
      <c r="A476" s="5"/>
      <c r="B476" s="5"/>
      <c r="C476" s="5"/>
      <c r="E476" s="5"/>
      <c r="F476" s="5"/>
      <c r="N476" s="5"/>
      <c r="O476" s="5"/>
      <c r="X476" s="4"/>
      <c r="Y476" s="4"/>
      <c r="Z476" s="4"/>
      <c r="AA476" s="4"/>
      <c r="AB476" s="4"/>
      <c r="AC476" s="4"/>
      <c r="AD476" s="4"/>
      <c r="AE476" s="25"/>
      <c r="AF476" s="4"/>
      <c r="AG476" s="4"/>
      <c r="AH476" s="4"/>
      <c r="AI476" s="4"/>
      <c r="AM476" s="26"/>
      <c r="AN476" s="26"/>
      <c r="AO476" s="26"/>
      <c r="AP476" s="26"/>
    </row>
    <row r="477" spans="1:42" ht="12.75" customHeight="1" x14ac:dyDescent="0.2">
      <c r="A477" s="5"/>
      <c r="B477" s="5"/>
      <c r="C477" s="5"/>
      <c r="E477" s="5"/>
      <c r="F477" s="5"/>
      <c r="N477" s="5"/>
      <c r="O477" s="5"/>
      <c r="X477" s="4"/>
      <c r="Y477" s="4"/>
      <c r="Z477" s="4"/>
      <c r="AA477" s="4"/>
      <c r="AB477" s="4"/>
      <c r="AC477" s="4"/>
      <c r="AD477" s="4"/>
      <c r="AE477" s="25"/>
      <c r="AF477" s="4"/>
      <c r="AG477" s="4"/>
      <c r="AH477" s="4"/>
      <c r="AI477" s="4"/>
      <c r="AM477" s="26"/>
      <c r="AN477" s="26"/>
      <c r="AO477" s="26"/>
      <c r="AP477" s="26"/>
    </row>
    <row r="478" spans="1:42" ht="12.75" customHeight="1" x14ac:dyDescent="0.2">
      <c r="A478" s="5"/>
      <c r="B478" s="5"/>
      <c r="C478" s="5"/>
      <c r="E478" s="5"/>
      <c r="F478" s="5"/>
      <c r="N478" s="5"/>
      <c r="O478" s="5"/>
      <c r="X478" s="4"/>
      <c r="Y478" s="4"/>
      <c r="Z478" s="4"/>
      <c r="AA478" s="4"/>
      <c r="AB478" s="4"/>
      <c r="AC478" s="4"/>
      <c r="AD478" s="4"/>
      <c r="AE478" s="25"/>
      <c r="AF478" s="4"/>
      <c r="AG478" s="4"/>
      <c r="AH478" s="4"/>
      <c r="AI478" s="4"/>
      <c r="AM478" s="26"/>
      <c r="AN478" s="26"/>
      <c r="AO478" s="26"/>
      <c r="AP478" s="26"/>
    </row>
    <row r="479" spans="1:42" ht="12.75" customHeight="1" x14ac:dyDescent="0.2">
      <c r="A479" s="5"/>
      <c r="B479" s="5"/>
      <c r="C479" s="5"/>
      <c r="E479" s="5"/>
      <c r="F479" s="5"/>
      <c r="N479" s="5"/>
      <c r="O479" s="5"/>
      <c r="X479" s="4"/>
      <c r="Y479" s="4"/>
      <c r="Z479" s="4"/>
      <c r="AA479" s="4"/>
      <c r="AB479" s="4"/>
      <c r="AC479" s="4"/>
      <c r="AD479" s="4"/>
      <c r="AE479" s="25"/>
      <c r="AF479" s="4"/>
      <c r="AG479" s="4"/>
      <c r="AH479" s="4"/>
      <c r="AI479" s="4"/>
      <c r="AM479" s="26"/>
      <c r="AN479" s="26"/>
      <c r="AO479" s="26"/>
      <c r="AP479" s="26"/>
    </row>
    <row r="480" spans="1:42" ht="12.75" customHeight="1" x14ac:dyDescent="0.2">
      <c r="A480" s="5"/>
      <c r="B480" s="5"/>
      <c r="C480" s="5"/>
      <c r="E480" s="5"/>
      <c r="F480" s="5"/>
      <c r="N480" s="5"/>
      <c r="O480" s="5"/>
      <c r="X480" s="4"/>
      <c r="Y480" s="4"/>
      <c r="Z480" s="4"/>
      <c r="AA480" s="4"/>
      <c r="AB480" s="4"/>
      <c r="AC480" s="4"/>
      <c r="AD480" s="4"/>
      <c r="AE480" s="25"/>
      <c r="AF480" s="4"/>
      <c r="AG480" s="4"/>
      <c r="AH480" s="4"/>
      <c r="AI480" s="4"/>
      <c r="AM480" s="26"/>
      <c r="AN480" s="26"/>
      <c r="AO480" s="26"/>
      <c r="AP480" s="26"/>
    </row>
    <row r="481" spans="1:42" ht="12.75" customHeight="1" x14ac:dyDescent="0.2">
      <c r="A481" s="5"/>
      <c r="B481" s="5"/>
      <c r="C481" s="5"/>
      <c r="E481" s="5"/>
      <c r="F481" s="5"/>
      <c r="N481" s="5"/>
      <c r="O481" s="5"/>
      <c r="X481" s="4"/>
      <c r="Y481" s="4"/>
      <c r="Z481" s="4"/>
      <c r="AA481" s="4"/>
      <c r="AB481" s="4"/>
      <c r="AC481" s="4"/>
      <c r="AD481" s="4"/>
      <c r="AE481" s="25"/>
      <c r="AF481" s="4"/>
      <c r="AG481" s="4"/>
      <c r="AH481" s="4"/>
      <c r="AI481" s="4"/>
      <c r="AM481" s="26"/>
      <c r="AN481" s="26"/>
      <c r="AO481" s="26"/>
      <c r="AP481" s="26"/>
    </row>
    <row r="482" spans="1:42" ht="12.75" customHeight="1" x14ac:dyDescent="0.2">
      <c r="A482" s="5"/>
      <c r="B482" s="5"/>
      <c r="C482" s="5"/>
      <c r="E482" s="5"/>
      <c r="F482" s="5"/>
      <c r="N482" s="5"/>
      <c r="O482" s="5"/>
      <c r="X482" s="4"/>
      <c r="Y482" s="4"/>
      <c r="Z482" s="4"/>
      <c r="AA482" s="4"/>
      <c r="AB482" s="4"/>
      <c r="AC482" s="4"/>
      <c r="AD482" s="4"/>
      <c r="AE482" s="25"/>
      <c r="AF482" s="4"/>
      <c r="AG482" s="4"/>
      <c r="AH482" s="4"/>
      <c r="AI482" s="4"/>
      <c r="AM482" s="26"/>
      <c r="AN482" s="26"/>
      <c r="AO482" s="26"/>
      <c r="AP482" s="26"/>
    </row>
    <row r="483" spans="1:42" ht="12.75" customHeight="1" x14ac:dyDescent="0.2">
      <c r="A483" s="5"/>
      <c r="B483" s="5"/>
      <c r="C483" s="5"/>
      <c r="E483" s="5"/>
      <c r="F483" s="5"/>
      <c r="N483" s="5"/>
      <c r="O483" s="5"/>
      <c r="X483" s="4"/>
      <c r="Y483" s="4"/>
      <c r="Z483" s="4"/>
      <c r="AA483" s="4"/>
      <c r="AB483" s="4"/>
      <c r="AC483" s="4"/>
      <c r="AD483" s="4"/>
      <c r="AE483" s="25"/>
      <c r="AF483" s="4"/>
      <c r="AG483" s="4"/>
      <c r="AH483" s="4"/>
      <c r="AI483" s="4"/>
      <c r="AM483" s="26"/>
      <c r="AN483" s="26"/>
      <c r="AO483" s="26"/>
      <c r="AP483" s="26"/>
    </row>
    <row r="484" spans="1:42" ht="12.75" customHeight="1" x14ac:dyDescent="0.2">
      <c r="A484" s="5"/>
      <c r="B484" s="5"/>
      <c r="C484" s="5"/>
      <c r="E484" s="5"/>
      <c r="F484" s="5"/>
      <c r="N484" s="5"/>
      <c r="O484" s="5"/>
      <c r="X484" s="4"/>
      <c r="Y484" s="4"/>
      <c r="Z484" s="4"/>
      <c r="AA484" s="4"/>
      <c r="AB484" s="4"/>
      <c r="AC484" s="4"/>
      <c r="AD484" s="4"/>
      <c r="AE484" s="25"/>
      <c r="AF484" s="4"/>
      <c r="AG484" s="4"/>
      <c r="AH484" s="4"/>
      <c r="AI484" s="4"/>
      <c r="AM484" s="26"/>
      <c r="AN484" s="26"/>
      <c r="AO484" s="26"/>
      <c r="AP484" s="26"/>
    </row>
    <row r="485" spans="1:42" ht="12.75" customHeight="1" x14ac:dyDescent="0.2">
      <c r="A485" s="5"/>
      <c r="B485" s="5"/>
      <c r="C485" s="5"/>
      <c r="E485" s="5"/>
      <c r="F485" s="5"/>
      <c r="N485" s="5"/>
      <c r="O485" s="5"/>
      <c r="X485" s="4"/>
      <c r="Y485" s="4"/>
      <c r="Z485" s="4"/>
      <c r="AA485" s="4"/>
      <c r="AB485" s="4"/>
      <c r="AC485" s="4"/>
      <c r="AD485" s="4"/>
      <c r="AE485" s="25"/>
      <c r="AF485" s="4"/>
      <c r="AG485" s="4"/>
      <c r="AH485" s="4"/>
      <c r="AI485" s="4"/>
      <c r="AM485" s="26"/>
      <c r="AN485" s="26"/>
      <c r="AO485" s="26"/>
      <c r="AP485" s="26"/>
    </row>
    <row r="486" spans="1:42" ht="12.75" customHeight="1" x14ac:dyDescent="0.2">
      <c r="A486" s="5"/>
      <c r="B486" s="5"/>
      <c r="C486" s="5"/>
      <c r="E486" s="5"/>
      <c r="F486" s="5"/>
      <c r="N486" s="5"/>
      <c r="O486" s="5"/>
      <c r="X486" s="4"/>
      <c r="Y486" s="4"/>
      <c r="Z486" s="4"/>
      <c r="AA486" s="4"/>
      <c r="AB486" s="4"/>
      <c r="AC486" s="4"/>
      <c r="AD486" s="4"/>
      <c r="AE486" s="25"/>
      <c r="AF486" s="4"/>
      <c r="AG486" s="4"/>
      <c r="AH486" s="4"/>
      <c r="AI486" s="4"/>
      <c r="AM486" s="26"/>
      <c r="AN486" s="26"/>
      <c r="AO486" s="26"/>
      <c r="AP486" s="26"/>
    </row>
    <row r="487" spans="1:42" ht="12.75" customHeight="1" x14ac:dyDescent="0.2">
      <c r="A487" s="5"/>
      <c r="B487" s="5"/>
      <c r="C487" s="5"/>
      <c r="E487" s="5"/>
      <c r="F487" s="5"/>
      <c r="N487" s="5"/>
      <c r="O487" s="5"/>
      <c r="X487" s="4"/>
      <c r="Y487" s="4"/>
      <c r="Z487" s="4"/>
      <c r="AA487" s="4"/>
      <c r="AB487" s="4"/>
      <c r="AC487" s="4"/>
      <c r="AD487" s="4"/>
      <c r="AE487" s="25"/>
      <c r="AF487" s="4"/>
      <c r="AG487" s="4"/>
      <c r="AH487" s="4"/>
      <c r="AI487" s="4"/>
      <c r="AM487" s="26"/>
      <c r="AN487" s="26"/>
      <c r="AO487" s="26"/>
      <c r="AP487" s="26"/>
    </row>
    <row r="488" spans="1:42" ht="12.75" customHeight="1" x14ac:dyDescent="0.2">
      <c r="A488" s="5"/>
      <c r="B488" s="5"/>
      <c r="C488" s="5"/>
      <c r="E488" s="5"/>
      <c r="F488" s="5"/>
      <c r="N488" s="5"/>
      <c r="O488" s="5"/>
      <c r="X488" s="4"/>
      <c r="Y488" s="4"/>
      <c r="Z488" s="4"/>
      <c r="AA488" s="4"/>
      <c r="AB488" s="4"/>
      <c r="AC488" s="4"/>
      <c r="AD488" s="4"/>
      <c r="AE488" s="25"/>
      <c r="AF488" s="4"/>
      <c r="AG488" s="4"/>
      <c r="AH488" s="4"/>
      <c r="AI488" s="4"/>
      <c r="AM488" s="26"/>
      <c r="AN488" s="26"/>
      <c r="AO488" s="26"/>
      <c r="AP488" s="26"/>
    </row>
    <row r="489" spans="1:42" ht="12.75" customHeight="1" x14ac:dyDescent="0.2">
      <c r="A489" s="5"/>
      <c r="B489" s="5"/>
      <c r="C489" s="5"/>
      <c r="E489" s="5"/>
      <c r="F489" s="5"/>
      <c r="N489" s="5"/>
      <c r="O489" s="5"/>
      <c r="X489" s="4"/>
      <c r="Y489" s="4"/>
      <c r="Z489" s="4"/>
      <c r="AA489" s="4"/>
      <c r="AB489" s="4"/>
      <c r="AC489" s="4"/>
      <c r="AD489" s="4"/>
      <c r="AE489" s="25"/>
      <c r="AF489" s="4"/>
      <c r="AG489" s="4"/>
      <c r="AH489" s="4"/>
      <c r="AI489" s="4"/>
      <c r="AM489" s="26"/>
      <c r="AN489" s="26"/>
      <c r="AO489" s="26"/>
      <c r="AP489" s="26"/>
    </row>
    <row r="490" spans="1:42" ht="12.75" customHeight="1" x14ac:dyDescent="0.2">
      <c r="A490" s="5"/>
      <c r="B490" s="5"/>
      <c r="C490" s="5"/>
      <c r="E490" s="5"/>
      <c r="F490" s="5"/>
      <c r="N490" s="5"/>
      <c r="O490" s="5"/>
      <c r="X490" s="4"/>
      <c r="Y490" s="4"/>
      <c r="Z490" s="4"/>
      <c r="AA490" s="4"/>
      <c r="AB490" s="4"/>
      <c r="AC490" s="4"/>
      <c r="AD490" s="4"/>
      <c r="AE490" s="25"/>
      <c r="AF490" s="4"/>
      <c r="AG490" s="4"/>
      <c r="AH490" s="4"/>
      <c r="AI490" s="4"/>
      <c r="AM490" s="26"/>
      <c r="AN490" s="26"/>
      <c r="AO490" s="26"/>
      <c r="AP490" s="26"/>
    </row>
    <row r="491" spans="1:42" ht="12.75" customHeight="1" x14ac:dyDescent="0.2">
      <c r="A491" s="5"/>
      <c r="B491" s="5"/>
      <c r="C491" s="5"/>
      <c r="E491" s="5"/>
      <c r="F491" s="5"/>
      <c r="N491" s="5"/>
      <c r="O491" s="5"/>
      <c r="X491" s="4"/>
      <c r="Y491" s="4"/>
      <c r="Z491" s="4"/>
      <c r="AA491" s="4"/>
      <c r="AB491" s="4"/>
      <c r="AC491" s="4"/>
      <c r="AD491" s="4"/>
      <c r="AE491" s="25"/>
      <c r="AF491" s="4"/>
      <c r="AG491" s="4"/>
      <c r="AH491" s="4"/>
      <c r="AI491" s="4"/>
      <c r="AM491" s="26"/>
      <c r="AN491" s="26"/>
      <c r="AO491" s="26"/>
      <c r="AP491" s="26"/>
    </row>
    <row r="492" spans="1:42" ht="12.75" customHeight="1" x14ac:dyDescent="0.2">
      <c r="A492" s="5"/>
      <c r="B492" s="5"/>
      <c r="C492" s="5"/>
      <c r="E492" s="5"/>
      <c r="F492" s="5"/>
      <c r="N492" s="5"/>
      <c r="O492" s="5"/>
      <c r="X492" s="4"/>
      <c r="Y492" s="4"/>
      <c r="Z492" s="4"/>
      <c r="AA492" s="4"/>
      <c r="AB492" s="4"/>
      <c r="AC492" s="4"/>
      <c r="AD492" s="4"/>
      <c r="AE492" s="25"/>
      <c r="AF492" s="4"/>
      <c r="AG492" s="4"/>
      <c r="AH492" s="4"/>
      <c r="AI492" s="4"/>
      <c r="AM492" s="26"/>
      <c r="AN492" s="26"/>
      <c r="AO492" s="26"/>
      <c r="AP492" s="26"/>
    </row>
    <row r="493" spans="1:42" ht="12.75" customHeight="1" x14ac:dyDescent="0.2">
      <c r="A493" s="5"/>
      <c r="B493" s="5"/>
      <c r="C493" s="5"/>
      <c r="E493" s="5"/>
      <c r="F493" s="5"/>
      <c r="N493" s="5"/>
      <c r="O493" s="5"/>
      <c r="X493" s="4"/>
      <c r="Y493" s="4"/>
      <c r="Z493" s="4"/>
      <c r="AA493" s="4"/>
      <c r="AB493" s="4"/>
      <c r="AC493" s="4"/>
      <c r="AD493" s="4"/>
      <c r="AE493" s="25"/>
      <c r="AF493" s="4"/>
      <c r="AG493" s="4"/>
      <c r="AH493" s="4"/>
      <c r="AI493" s="4"/>
      <c r="AM493" s="26"/>
      <c r="AN493" s="26"/>
      <c r="AO493" s="26"/>
      <c r="AP493" s="26"/>
    </row>
    <row r="494" spans="1:42" ht="12.75" customHeight="1" x14ac:dyDescent="0.2">
      <c r="A494" s="5"/>
      <c r="B494" s="5"/>
      <c r="C494" s="5"/>
      <c r="E494" s="5"/>
      <c r="F494" s="5"/>
      <c r="N494" s="5"/>
      <c r="O494" s="5"/>
      <c r="X494" s="4"/>
      <c r="Y494" s="4"/>
      <c r="Z494" s="4"/>
      <c r="AA494" s="4"/>
      <c r="AB494" s="4"/>
      <c r="AC494" s="4"/>
      <c r="AD494" s="4"/>
      <c r="AE494" s="25"/>
      <c r="AF494" s="4"/>
      <c r="AG494" s="4"/>
      <c r="AH494" s="4"/>
      <c r="AI494" s="4"/>
      <c r="AM494" s="26"/>
      <c r="AN494" s="26"/>
      <c r="AO494" s="26"/>
      <c r="AP494" s="26"/>
    </row>
    <row r="495" spans="1:42" ht="12.75" customHeight="1" x14ac:dyDescent="0.2">
      <c r="A495" s="5"/>
      <c r="B495" s="5"/>
      <c r="C495" s="5"/>
      <c r="E495" s="5"/>
      <c r="F495" s="5"/>
      <c r="N495" s="5"/>
      <c r="O495" s="5"/>
      <c r="X495" s="4"/>
      <c r="Y495" s="4"/>
      <c r="Z495" s="4"/>
      <c r="AA495" s="4"/>
      <c r="AB495" s="4"/>
      <c r="AC495" s="4"/>
      <c r="AD495" s="4"/>
      <c r="AE495" s="25"/>
      <c r="AF495" s="4"/>
      <c r="AG495" s="4"/>
      <c r="AH495" s="4"/>
      <c r="AI495" s="4"/>
      <c r="AM495" s="26"/>
      <c r="AN495" s="26"/>
      <c r="AO495" s="26"/>
      <c r="AP495" s="26"/>
    </row>
    <row r="496" spans="1:42" ht="12.75" customHeight="1" x14ac:dyDescent="0.2">
      <c r="A496" s="5"/>
      <c r="B496" s="5"/>
      <c r="C496" s="5"/>
      <c r="E496" s="5"/>
      <c r="F496" s="5"/>
      <c r="N496" s="5"/>
      <c r="O496" s="5"/>
      <c r="X496" s="4"/>
      <c r="Y496" s="4"/>
      <c r="Z496" s="4"/>
      <c r="AA496" s="4"/>
      <c r="AB496" s="4"/>
      <c r="AC496" s="4"/>
      <c r="AD496" s="4"/>
      <c r="AE496" s="25"/>
      <c r="AF496" s="4"/>
      <c r="AG496" s="4"/>
      <c r="AH496" s="4"/>
      <c r="AI496" s="4"/>
      <c r="AM496" s="26"/>
      <c r="AN496" s="26"/>
      <c r="AO496" s="26"/>
      <c r="AP496" s="26"/>
    </row>
    <row r="497" spans="1:42" ht="12.75" customHeight="1" x14ac:dyDescent="0.2">
      <c r="A497" s="5"/>
      <c r="B497" s="5"/>
      <c r="C497" s="5"/>
      <c r="E497" s="5"/>
      <c r="F497" s="5"/>
      <c r="N497" s="5"/>
      <c r="O497" s="5"/>
      <c r="X497" s="4"/>
      <c r="Y497" s="4"/>
      <c r="Z497" s="4"/>
      <c r="AA497" s="4"/>
      <c r="AB497" s="4"/>
      <c r="AC497" s="4"/>
      <c r="AD497" s="4"/>
      <c r="AE497" s="25"/>
      <c r="AF497" s="4"/>
      <c r="AG497" s="4"/>
      <c r="AH497" s="4"/>
      <c r="AI497" s="4"/>
      <c r="AM497" s="26"/>
      <c r="AN497" s="26"/>
      <c r="AO497" s="26"/>
      <c r="AP497" s="26"/>
    </row>
    <row r="498" spans="1:42" ht="12.75" customHeight="1" x14ac:dyDescent="0.2">
      <c r="A498" s="5"/>
      <c r="B498" s="5"/>
      <c r="C498" s="5"/>
      <c r="E498" s="5"/>
      <c r="F498" s="5"/>
      <c r="N498" s="5"/>
      <c r="O498" s="5"/>
      <c r="X498" s="4"/>
      <c r="Y498" s="4"/>
      <c r="Z498" s="4"/>
      <c r="AA498" s="4"/>
      <c r="AB498" s="4"/>
      <c r="AC498" s="4"/>
      <c r="AD498" s="4"/>
      <c r="AE498" s="25"/>
      <c r="AF498" s="4"/>
      <c r="AG498" s="4"/>
      <c r="AH498" s="4"/>
      <c r="AI498" s="4"/>
      <c r="AM498" s="26"/>
      <c r="AN498" s="26"/>
      <c r="AO498" s="26"/>
      <c r="AP498" s="26"/>
    </row>
    <row r="499" spans="1:42" ht="12.75" customHeight="1" x14ac:dyDescent="0.2">
      <c r="A499" s="5"/>
      <c r="B499" s="5"/>
      <c r="C499" s="5"/>
      <c r="E499" s="5"/>
      <c r="F499" s="5"/>
      <c r="N499" s="5"/>
      <c r="O499" s="5"/>
      <c r="X499" s="4"/>
      <c r="Y499" s="4"/>
      <c r="Z499" s="4"/>
      <c r="AA499" s="4"/>
      <c r="AB499" s="4"/>
      <c r="AC499" s="4"/>
      <c r="AD499" s="4"/>
      <c r="AE499" s="25"/>
      <c r="AF499" s="4"/>
      <c r="AG499" s="4"/>
      <c r="AH499" s="4"/>
      <c r="AI499" s="4"/>
      <c r="AM499" s="26"/>
      <c r="AN499" s="26"/>
      <c r="AO499" s="26"/>
      <c r="AP499" s="26"/>
    </row>
    <row r="500" spans="1:42" ht="12.75" customHeight="1" x14ac:dyDescent="0.2">
      <c r="A500" s="5"/>
      <c r="B500" s="5"/>
      <c r="C500" s="5"/>
      <c r="E500" s="5"/>
      <c r="F500" s="5"/>
      <c r="N500" s="5"/>
      <c r="O500" s="5"/>
      <c r="X500" s="4"/>
      <c r="Y500" s="4"/>
      <c r="Z500" s="4"/>
      <c r="AA500" s="4"/>
      <c r="AB500" s="4"/>
      <c r="AC500" s="4"/>
      <c r="AD500" s="4"/>
      <c r="AE500" s="25"/>
      <c r="AF500" s="4"/>
      <c r="AG500" s="4"/>
      <c r="AH500" s="4"/>
      <c r="AI500" s="4"/>
      <c r="AM500" s="26"/>
      <c r="AN500" s="26"/>
      <c r="AO500" s="26"/>
      <c r="AP500" s="26"/>
    </row>
    <row r="501" spans="1:42" ht="12.75" customHeight="1" x14ac:dyDescent="0.2">
      <c r="A501" s="5"/>
      <c r="B501" s="5"/>
      <c r="C501" s="5"/>
      <c r="E501" s="5"/>
      <c r="F501" s="5"/>
      <c r="N501" s="5"/>
      <c r="O501" s="5"/>
      <c r="X501" s="4"/>
      <c r="Y501" s="4"/>
      <c r="Z501" s="4"/>
      <c r="AA501" s="4"/>
      <c r="AB501" s="4"/>
      <c r="AC501" s="4"/>
      <c r="AD501" s="4"/>
      <c r="AE501" s="25"/>
      <c r="AF501" s="4"/>
      <c r="AG501" s="4"/>
      <c r="AH501" s="4"/>
      <c r="AI501" s="4"/>
      <c r="AM501" s="26"/>
      <c r="AN501" s="26"/>
      <c r="AO501" s="26"/>
      <c r="AP501" s="26"/>
    </row>
    <row r="502" spans="1:42" ht="12.75" customHeight="1" x14ac:dyDescent="0.2">
      <c r="A502" s="5"/>
      <c r="B502" s="5"/>
      <c r="C502" s="5"/>
      <c r="E502" s="5"/>
      <c r="F502" s="5"/>
      <c r="N502" s="5"/>
      <c r="O502" s="5"/>
      <c r="X502" s="4"/>
      <c r="Y502" s="4"/>
      <c r="Z502" s="4"/>
      <c r="AA502" s="4"/>
      <c r="AB502" s="4"/>
      <c r="AC502" s="4"/>
      <c r="AD502" s="4"/>
      <c r="AE502" s="25"/>
      <c r="AF502" s="4"/>
      <c r="AG502" s="4"/>
      <c r="AH502" s="4"/>
      <c r="AI502" s="4"/>
      <c r="AM502" s="26"/>
      <c r="AN502" s="26"/>
      <c r="AO502" s="26"/>
      <c r="AP502" s="26"/>
    </row>
    <row r="503" spans="1:42" ht="12.75" customHeight="1" x14ac:dyDescent="0.2">
      <c r="A503" s="5"/>
      <c r="B503" s="5"/>
      <c r="C503" s="5"/>
      <c r="E503" s="5"/>
      <c r="F503" s="5"/>
      <c r="N503" s="5"/>
      <c r="O503" s="5"/>
      <c r="X503" s="4"/>
      <c r="Y503" s="4"/>
      <c r="Z503" s="4"/>
      <c r="AA503" s="4"/>
      <c r="AB503" s="4"/>
      <c r="AC503" s="4"/>
      <c r="AD503" s="4"/>
      <c r="AE503" s="25"/>
      <c r="AF503" s="4"/>
      <c r="AG503" s="4"/>
      <c r="AH503" s="4"/>
      <c r="AI503" s="4"/>
      <c r="AM503" s="26"/>
      <c r="AN503" s="26"/>
      <c r="AO503" s="26"/>
      <c r="AP503" s="26"/>
    </row>
    <row r="504" spans="1:42" ht="12.75" customHeight="1" x14ac:dyDescent="0.2">
      <c r="A504" s="5"/>
      <c r="B504" s="5"/>
      <c r="C504" s="5"/>
      <c r="E504" s="5"/>
      <c r="F504" s="5"/>
      <c r="N504" s="5"/>
      <c r="O504" s="5"/>
      <c r="X504" s="4"/>
      <c r="Y504" s="4"/>
      <c r="Z504" s="4"/>
      <c r="AA504" s="4"/>
      <c r="AB504" s="4"/>
      <c r="AC504" s="4"/>
      <c r="AD504" s="4"/>
      <c r="AE504" s="25"/>
      <c r="AF504" s="4"/>
      <c r="AG504" s="4"/>
      <c r="AH504" s="4"/>
      <c r="AI504" s="4"/>
      <c r="AM504" s="26"/>
      <c r="AN504" s="26"/>
      <c r="AO504" s="26"/>
      <c r="AP504" s="26"/>
    </row>
    <row r="505" spans="1:42" ht="12.75" customHeight="1" x14ac:dyDescent="0.2">
      <c r="A505" s="5"/>
      <c r="B505" s="5"/>
      <c r="C505" s="5"/>
      <c r="E505" s="5"/>
      <c r="F505" s="5"/>
      <c r="N505" s="5"/>
      <c r="O505" s="5"/>
      <c r="X505" s="4"/>
      <c r="Y505" s="4"/>
      <c r="Z505" s="4"/>
      <c r="AA505" s="4"/>
      <c r="AB505" s="4"/>
      <c r="AC505" s="4"/>
      <c r="AD505" s="4"/>
      <c r="AE505" s="25"/>
      <c r="AF505" s="4"/>
      <c r="AG505" s="4"/>
      <c r="AH505" s="4"/>
      <c r="AI505" s="4"/>
      <c r="AM505" s="26"/>
      <c r="AN505" s="26"/>
      <c r="AO505" s="26"/>
      <c r="AP505" s="26"/>
    </row>
    <row r="506" spans="1:42" ht="12.75" customHeight="1" x14ac:dyDescent="0.2">
      <c r="A506" s="5"/>
      <c r="B506" s="5"/>
      <c r="C506" s="5"/>
      <c r="E506" s="5"/>
      <c r="F506" s="5"/>
      <c r="N506" s="5"/>
      <c r="O506" s="5"/>
      <c r="X506" s="4"/>
      <c r="Y506" s="4"/>
      <c r="Z506" s="4"/>
      <c r="AA506" s="4"/>
      <c r="AB506" s="4"/>
      <c r="AC506" s="4"/>
      <c r="AD506" s="4"/>
      <c r="AE506" s="25"/>
      <c r="AF506" s="4"/>
      <c r="AG506" s="4"/>
      <c r="AH506" s="4"/>
      <c r="AI506" s="4"/>
      <c r="AM506" s="26"/>
      <c r="AN506" s="26"/>
      <c r="AO506" s="26"/>
      <c r="AP506" s="26"/>
    </row>
    <row r="507" spans="1:42" ht="12.75" customHeight="1" x14ac:dyDescent="0.2">
      <c r="A507" s="5"/>
      <c r="B507" s="5"/>
      <c r="C507" s="5"/>
      <c r="E507" s="5"/>
      <c r="F507" s="5"/>
      <c r="N507" s="5"/>
      <c r="O507" s="5"/>
      <c r="X507" s="4"/>
      <c r="Y507" s="4"/>
      <c r="Z507" s="4"/>
      <c r="AA507" s="4"/>
      <c r="AB507" s="4"/>
      <c r="AC507" s="4"/>
      <c r="AD507" s="4"/>
      <c r="AE507" s="25"/>
      <c r="AF507" s="4"/>
      <c r="AG507" s="4"/>
      <c r="AH507" s="4"/>
      <c r="AI507" s="4"/>
      <c r="AM507" s="26"/>
      <c r="AN507" s="26"/>
      <c r="AO507" s="26"/>
      <c r="AP507" s="26"/>
    </row>
    <row r="508" spans="1:42" ht="12.75" customHeight="1" x14ac:dyDescent="0.2">
      <c r="A508" s="5"/>
      <c r="B508" s="5"/>
      <c r="C508" s="5"/>
      <c r="E508" s="5"/>
      <c r="F508" s="5"/>
      <c r="N508" s="5"/>
      <c r="O508" s="5"/>
      <c r="X508" s="4"/>
      <c r="Y508" s="4"/>
      <c r="Z508" s="4"/>
      <c r="AA508" s="4"/>
      <c r="AB508" s="4"/>
      <c r="AC508" s="4"/>
      <c r="AD508" s="4"/>
      <c r="AE508" s="25"/>
      <c r="AF508" s="4"/>
      <c r="AG508" s="4"/>
      <c r="AH508" s="4"/>
      <c r="AI508" s="4"/>
      <c r="AM508" s="26"/>
      <c r="AN508" s="26"/>
      <c r="AO508" s="26"/>
      <c r="AP508" s="26"/>
    </row>
    <row r="509" spans="1:42" ht="12.75" customHeight="1" x14ac:dyDescent="0.2">
      <c r="A509" s="5"/>
      <c r="B509" s="5"/>
      <c r="C509" s="5"/>
      <c r="E509" s="5"/>
      <c r="F509" s="5"/>
      <c r="N509" s="5"/>
      <c r="O509" s="5"/>
      <c r="X509" s="4"/>
      <c r="Y509" s="4"/>
      <c r="Z509" s="4"/>
      <c r="AA509" s="4"/>
      <c r="AB509" s="4"/>
      <c r="AC509" s="4"/>
      <c r="AD509" s="4"/>
      <c r="AE509" s="25"/>
      <c r="AF509" s="4"/>
      <c r="AG509" s="4"/>
      <c r="AH509" s="4"/>
      <c r="AI509" s="4"/>
      <c r="AM509" s="26"/>
      <c r="AN509" s="26"/>
      <c r="AO509" s="26"/>
      <c r="AP509" s="26"/>
    </row>
    <row r="510" spans="1:42" ht="12.75" customHeight="1" x14ac:dyDescent="0.2">
      <c r="A510" s="5"/>
      <c r="B510" s="5"/>
      <c r="C510" s="5"/>
      <c r="E510" s="5"/>
      <c r="F510" s="5"/>
      <c r="N510" s="5"/>
      <c r="O510" s="5"/>
      <c r="X510" s="4"/>
      <c r="Y510" s="4"/>
      <c r="Z510" s="4"/>
      <c r="AA510" s="4"/>
      <c r="AB510" s="4"/>
      <c r="AC510" s="4"/>
      <c r="AD510" s="4"/>
      <c r="AE510" s="25"/>
      <c r="AF510" s="4"/>
      <c r="AG510" s="4"/>
      <c r="AH510" s="4"/>
      <c r="AI510" s="4"/>
      <c r="AM510" s="26"/>
      <c r="AN510" s="26"/>
      <c r="AO510" s="26"/>
      <c r="AP510" s="26"/>
    </row>
    <row r="511" spans="1:42" ht="12.75" customHeight="1" x14ac:dyDescent="0.2">
      <c r="A511" s="5"/>
      <c r="B511" s="5"/>
      <c r="C511" s="5"/>
      <c r="E511" s="5"/>
      <c r="F511" s="5"/>
      <c r="N511" s="5"/>
      <c r="O511" s="5"/>
      <c r="X511" s="4"/>
      <c r="Y511" s="4"/>
      <c r="Z511" s="4"/>
      <c r="AA511" s="4"/>
      <c r="AB511" s="4"/>
      <c r="AC511" s="4"/>
      <c r="AD511" s="4"/>
      <c r="AE511" s="25"/>
      <c r="AF511" s="4"/>
      <c r="AG511" s="4"/>
      <c r="AH511" s="4"/>
      <c r="AI511" s="4"/>
      <c r="AM511" s="26"/>
      <c r="AN511" s="26"/>
      <c r="AO511" s="26"/>
      <c r="AP511" s="26"/>
    </row>
    <row r="512" spans="1:42" ht="12.75" customHeight="1" x14ac:dyDescent="0.2">
      <c r="A512" s="5"/>
      <c r="B512" s="5"/>
      <c r="C512" s="5"/>
      <c r="E512" s="5"/>
      <c r="F512" s="5"/>
      <c r="N512" s="5"/>
      <c r="O512" s="5"/>
      <c r="X512" s="4"/>
      <c r="Y512" s="4"/>
      <c r="Z512" s="4"/>
      <c r="AA512" s="4"/>
      <c r="AB512" s="4"/>
      <c r="AC512" s="4"/>
      <c r="AD512" s="4"/>
      <c r="AE512" s="25"/>
      <c r="AF512" s="4"/>
      <c r="AG512" s="4"/>
      <c r="AH512" s="4"/>
      <c r="AI512" s="4"/>
      <c r="AM512" s="26"/>
      <c r="AN512" s="26"/>
      <c r="AO512" s="26"/>
      <c r="AP512" s="26"/>
    </row>
    <row r="513" spans="1:42" ht="12.75" customHeight="1" x14ac:dyDescent="0.2">
      <c r="A513" s="5"/>
      <c r="B513" s="5"/>
      <c r="C513" s="5"/>
      <c r="E513" s="5"/>
      <c r="F513" s="5"/>
      <c r="N513" s="5"/>
      <c r="O513" s="5"/>
      <c r="X513" s="4"/>
      <c r="Y513" s="4"/>
      <c r="Z513" s="4"/>
      <c r="AA513" s="4"/>
      <c r="AB513" s="4"/>
      <c r="AC513" s="4"/>
      <c r="AD513" s="4"/>
      <c r="AE513" s="25"/>
      <c r="AF513" s="4"/>
      <c r="AG513" s="4"/>
      <c r="AH513" s="4"/>
      <c r="AI513" s="4"/>
      <c r="AM513" s="26"/>
      <c r="AN513" s="26"/>
      <c r="AO513" s="26"/>
      <c r="AP513" s="26"/>
    </row>
    <row r="514" spans="1:42" ht="12.75" customHeight="1" x14ac:dyDescent="0.2">
      <c r="A514" s="5"/>
      <c r="B514" s="5"/>
      <c r="C514" s="5"/>
      <c r="E514" s="5"/>
      <c r="F514" s="5"/>
      <c r="N514" s="5"/>
      <c r="O514" s="5"/>
      <c r="X514" s="4"/>
      <c r="Y514" s="4"/>
      <c r="Z514" s="4"/>
      <c r="AA514" s="4"/>
      <c r="AB514" s="4"/>
      <c r="AC514" s="4"/>
      <c r="AD514" s="4"/>
      <c r="AE514" s="25"/>
      <c r="AF514" s="4"/>
      <c r="AG514" s="4"/>
      <c r="AH514" s="4"/>
      <c r="AI514" s="4"/>
      <c r="AM514" s="26"/>
      <c r="AN514" s="26"/>
      <c r="AO514" s="26"/>
      <c r="AP514" s="26"/>
    </row>
    <row r="515" spans="1:42" ht="12.75" customHeight="1" x14ac:dyDescent="0.2">
      <c r="A515" s="5"/>
      <c r="B515" s="5"/>
      <c r="C515" s="5"/>
      <c r="E515" s="5"/>
      <c r="F515" s="5"/>
      <c r="N515" s="5"/>
      <c r="O515" s="5"/>
      <c r="X515" s="4"/>
      <c r="Y515" s="4"/>
      <c r="Z515" s="4"/>
      <c r="AA515" s="4"/>
      <c r="AB515" s="4"/>
      <c r="AC515" s="4"/>
      <c r="AD515" s="4"/>
      <c r="AE515" s="25"/>
      <c r="AF515" s="4"/>
      <c r="AG515" s="4"/>
      <c r="AH515" s="4"/>
      <c r="AI515" s="4"/>
      <c r="AM515" s="26"/>
      <c r="AN515" s="26"/>
      <c r="AO515" s="26"/>
      <c r="AP515" s="26"/>
    </row>
    <row r="516" spans="1:42" ht="12.75" customHeight="1" x14ac:dyDescent="0.2">
      <c r="A516" s="5"/>
      <c r="B516" s="5"/>
      <c r="C516" s="5"/>
      <c r="E516" s="5"/>
      <c r="F516" s="5"/>
      <c r="N516" s="5"/>
      <c r="O516" s="5"/>
      <c r="X516" s="4"/>
      <c r="Y516" s="4"/>
      <c r="Z516" s="4"/>
      <c r="AA516" s="4"/>
      <c r="AB516" s="4"/>
      <c r="AC516" s="4"/>
      <c r="AD516" s="4"/>
      <c r="AE516" s="25"/>
      <c r="AF516" s="4"/>
      <c r="AG516" s="4"/>
      <c r="AH516" s="4"/>
      <c r="AI516" s="4"/>
      <c r="AM516" s="26"/>
      <c r="AN516" s="26"/>
      <c r="AO516" s="26"/>
      <c r="AP516" s="26"/>
    </row>
    <row r="517" spans="1:42" ht="12.75" customHeight="1" x14ac:dyDescent="0.2">
      <c r="A517" s="5"/>
      <c r="B517" s="5"/>
      <c r="C517" s="5"/>
      <c r="E517" s="5"/>
      <c r="F517" s="5"/>
      <c r="N517" s="5"/>
      <c r="O517" s="5"/>
      <c r="X517" s="4"/>
      <c r="Y517" s="4"/>
      <c r="Z517" s="4"/>
      <c r="AA517" s="4"/>
      <c r="AB517" s="4"/>
      <c r="AC517" s="4"/>
      <c r="AD517" s="4"/>
      <c r="AE517" s="25"/>
      <c r="AF517" s="4"/>
      <c r="AG517" s="4"/>
      <c r="AH517" s="4"/>
      <c r="AI517" s="4"/>
      <c r="AM517" s="26"/>
      <c r="AN517" s="26"/>
      <c r="AO517" s="26"/>
      <c r="AP517" s="26"/>
    </row>
    <row r="518" spans="1:42" ht="12.75" customHeight="1" x14ac:dyDescent="0.2">
      <c r="A518" s="5"/>
      <c r="B518" s="5"/>
      <c r="C518" s="5"/>
      <c r="E518" s="5"/>
      <c r="F518" s="5"/>
      <c r="N518" s="5"/>
      <c r="O518" s="5"/>
      <c r="X518" s="4"/>
      <c r="Y518" s="4"/>
      <c r="Z518" s="4"/>
      <c r="AA518" s="4"/>
      <c r="AB518" s="4"/>
      <c r="AC518" s="4"/>
      <c r="AD518" s="4"/>
      <c r="AE518" s="25"/>
      <c r="AF518" s="4"/>
      <c r="AG518" s="4"/>
      <c r="AH518" s="4"/>
      <c r="AI518" s="4"/>
      <c r="AM518" s="26"/>
      <c r="AN518" s="26"/>
      <c r="AO518" s="26"/>
      <c r="AP518" s="26"/>
    </row>
    <row r="519" spans="1:42" ht="12.75" customHeight="1" x14ac:dyDescent="0.2">
      <c r="A519" s="5"/>
      <c r="B519" s="5"/>
      <c r="C519" s="5"/>
      <c r="E519" s="5"/>
      <c r="F519" s="5"/>
      <c r="N519" s="5"/>
      <c r="O519" s="5"/>
      <c r="X519" s="4"/>
      <c r="Y519" s="4"/>
      <c r="Z519" s="4"/>
      <c r="AA519" s="4"/>
      <c r="AB519" s="4"/>
      <c r="AC519" s="4"/>
      <c r="AD519" s="4"/>
      <c r="AE519" s="25"/>
      <c r="AF519" s="4"/>
      <c r="AG519" s="4"/>
      <c r="AH519" s="4"/>
      <c r="AI519" s="4"/>
      <c r="AM519" s="26"/>
      <c r="AN519" s="26"/>
      <c r="AO519" s="26"/>
      <c r="AP519" s="26"/>
    </row>
    <row r="520" spans="1:42" ht="12.75" customHeight="1" x14ac:dyDescent="0.2">
      <c r="A520" s="5"/>
      <c r="B520" s="5"/>
      <c r="C520" s="5"/>
      <c r="E520" s="5"/>
      <c r="F520" s="5"/>
      <c r="N520" s="5"/>
      <c r="O520" s="5"/>
      <c r="X520" s="4"/>
      <c r="Y520" s="4"/>
      <c r="Z520" s="4"/>
      <c r="AA520" s="4"/>
      <c r="AB520" s="4"/>
      <c r="AC520" s="4"/>
      <c r="AD520" s="4"/>
      <c r="AE520" s="25"/>
      <c r="AF520" s="4"/>
      <c r="AG520" s="4"/>
      <c r="AH520" s="4"/>
      <c r="AI520" s="4"/>
      <c r="AM520" s="26"/>
      <c r="AN520" s="26"/>
      <c r="AO520" s="26"/>
      <c r="AP520" s="26"/>
    </row>
    <row r="521" spans="1:42" ht="12.75" customHeight="1" x14ac:dyDescent="0.2">
      <c r="A521" s="5"/>
      <c r="B521" s="5"/>
      <c r="C521" s="5"/>
      <c r="E521" s="5"/>
      <c r="F521" s="5"/>
      <c r="N521" s="5"/>
      <c r="O521" s="5"/>
      <c r="X521" s="4"/>
      <c r="Y521" s="4"/>
      <c r="Z521" s="4"/>
      <c r="AA521" s="4"/>
      <c r="AB521" s="4"/>
      <c r="AC521" s="4"/>
      <c r="AD521" s="4"/>
      <c r="AE521" s="25"/>
      <c r="AF521" s="4"/>
      <c r="AG521" s="4"/>
      <c r="AH521" s="4"/>
      <c r="AI521" s="4"/>
      <c r="AM521" s="26"/>
      <c r="AN521" s="26"/>
      <c r="AO521" s="26"/>
      <c r="AP521" s="26"/>
    </row>
    <row r="522" spans="1:42" ht="12.75" customHeight="1" x14ac:dyDescent="0.2">
      <c r="A522" s="5"/>
      <c r="B522" s="5"/>
      <c r="C522" s="5"/>
      <c r="E522" s="5"/>
      <c r="F522" s="5"/>
      <c r="N522" s="5"/>
      <c r="O522" s="5"/>
      <c r="X522" s="4"/>
      <c r="Y522" s="4"/>
      <c r="Z522" s="4"/>
      <c r="AA522" s="4"/>
      <c r="AB522" s="4"/>
      <c r="AC522" s="4"/>
      <c r="AD522" s="4"/>
      <c r="AE522" s="25"/>
      <c r="AF522" s="4"/>
      <c r="AG522" s="4"/>
      <c r="AH522" s="4"/>
      <c r="AI522" s="4"/>
      <c r="AM522" s="26"/>
      <c r="AN522" s="26"/>
      <c r="AO522" s="26"/>
      <c r="AP522" s="26"/>
    </row>
    <row r="523" spans="1:42" ht="12.75" customHeight="1" x14ac:dyDescent="0.2">
      <c r="A523" s="5"/>
      <c r="B523" s="5"/>
      <c r="C523" s="5"/>
      <c r="E523" s="5"/>
      <c r="F523" s="5"/>
      <c r="N523" s="5"/>
      <c r="O523" s="5"/>
      <c r="X523" s="4"/>
      <c r="Y523" s="4"/>
      <c r="Z523" s="4"/>
      <c r="AA523" s="4"/>
      <c r="AB523" s="4"/>
      <c r="AC523" s="4"/>
      <c r="AD523" s="4"/>
      <c r="AE523" s="25"/>
      <c r="AF523" s="4"/>
      <c r="AG523" s="4"/>
      <c r="AH523" s="4"/>
      <c r="AI523" s="4"/>
      <c r="AM523" s="26"/>
      <c r="AN523" s="26"/>
      <c r="AO523" s="26"/>
      <c r="AP523" s="26"/>
    </row>
    <row r="524" spans="1:42" ht="12.75" customHeight="1" x14ac:dyDescent="0.2">
      <c r="A524" s="5"/>
      <c r="B524" s="5"/>
      <c r="C524" s="5"/>
      <c r="E524" s="5"/>
      <c r="F524" s="5"/>
      <c r="N524" s="5"/>
      <c r="O524" s="5"/>
      <c r="X524" s="4"/>
      <c r="Y524" s="4"/>
      <c r="Z524" s="4"/>
      <c r="AA524" s="4"/>
      <c r="AB524" s="4"/>
      <c r="AC524" s="4"/>
      <c r="AD524" s="4"/>
      <c r="AE524" s="25"/>
      <c r="AF524" s="4"/>
      <c r="AG524" s="4"/>
      <c r="AH524" s="4"/>
      <c r="AI524" s="4"/>
      <c r="AM524" s="26"/>
      <c r="AN524" s="26"/>
      <c r="AO524" s="26"/>
      <c r="AP524" s="26"/>
    </row>
    <row r="525" spans="1:42" ht="12.75" customHeight="1" x14ac:dyDescent="0.2">
      <c r="A525" s="5"/>
      <c r="B525" s="5"/>
      <c r="C525" s="5"/>
      <c r="E525" s="5"/>
      <c r="F525" s="5"/>
      <c r="N525" s="5"/>
      <c r="O525" s="5"/>
      <c r="X525" s="4"/>
      <c r="Y525" s="4"/>
      <c r="Z525" s="4"/>
      <c r="AA525" s="4"/>
      <c r="AB525" s="4"/>
      <c r="AC525" s="4"/>
      <c r="AD525" s="4"/>
      <c r="AE525" s="25"/>
      <c r="AF525" s="4"/>
      <c r="AG525" s="4"/>
      <c r="AH525" s="4"/>
      <c r="AI525" s="4"/>
      <c r="AM525" s="26"/>
      <c r="AN525" s="26"/>
      <c r="AO525" s="26"/>
      <c r="AP525" s="26"/>
    </row>
    <row r="526" spans="1:42" ht="12.75" customHeight="1" x14ac:dyDescent="0.2">
      <c r="A526" s="5"/>
      <c r="B526" s="5"/>
      <c r="C526" s="5"/>
      <c r="E526" s="5"/>
      <c r="F526" s="5"/>
      <c r="N526" s="5"/>
      <c r="O526" s="5"/>
      <c r="X526" s="4"/>
      <c r="Y526" s="4"/>
      <c r="Z526" s="4"/>
      <c r="AA526" s="4"/>
      <c r="AB526" s="4"/>
      <c r="AC526" s="4"/>
      <c r="AD526" s="4"/>
      <c r="AE526" s="25"/>
      <c r="AF526" s="4"/>
      <c r="AG526" s="4"/>
      <c r="AH526" s="4"/>
      <c r="AI526" s="4"/>
      <c r="AM526" s="26"/>
      <c r="AN526" s="26"/>
      <c r="AO526" s="26"/>
      <c r="AP526" s="26"/>
    </row>
    <row r="527" spans="1:42" ht="12.75" customHeight="1" x14ac:dyDescent="0.2">
      <c r="A527" s="5"/>
      <c r="B527" s="5"/>
      <c r="C527" s="5"/>
      <c r="E527" s="5"/>
      <c r="F527" s="5"/>
      <c r="N527" s="5"/>
      <c r="O527" s="5"/>
      <c r="X527" s="4"/>
      <c r="Y527" s="4"/>
      <c r="Z527" s="4"/>
      <c r="AA527" s="4"/>
      <c r="AB527" s="4"/>
      <c r="AC527" s="4"/>
      <c r="AD527" s="4"/>
      <c r="AE527" s="25"/>
      <c r="AF527" s="4"/>
      <c r="AG527" s="4"/>
      <c r="AH527" s="4"/>
      <c r="AI527" s="4"/>
      <c r="AM527" s="26"/>
      <c r="AN527" s="26"/>
      <c r="AO527" s="26"/>
      <c r="AP527" s="26"/>
    </row>
    <row r="528" spans="1:42" ht="12.75" customHeight="1" x14ac:dyDescent="0.2">
      <c r="A528" s="5"/>
      <c r="B528" s="5"/>
      <c r="C528" s="5"/>
      <c r="E528" s="5"/>
      <c r="F528" s="5"/>
      <c r="N528" s="5"/>
      <c r="O528" s="5"/>
      <c r="X528" s="4"/>
      <c r="Y528" s="4"/>
      <c r="Z528" s="4"/>
      <c r="AA528" s="4"/>
      <c r="AB528" s="4"/>
      <c r="AC528" s="4"/>
      <c r="AD528" s="4"/>
      <c r="AE528" s="25"/>
      <c r="AF528" s="4"/>
      <c r="AG528" s="4"/>
      <c r="AH528" s="4"/>
      <c r="AI528" s="4"/>
      <c r="AM528" s="26"/>
      <c r="AN528" s="26"/>
      <c r="AO528" s="26"/>
      <c r="AP528" s="26"/>
    </row>
    <row r="529" spans="1:42" ht="12.75" customHeight="1" x14ac:dyDescent="0.2">
      <c r="A529" s="5"/>
      <c r="B529" s="5"/>
      <c r="C529" s="5"/>
      <c r="E529" s="5"/>
      <c r="F529" s="5"/>
      <c r="N529" s="5"/>
      <c r="O529" s="5"/>
      <c r="X529" s="4"/>
      <c r="Y529" s="4"/>
      <c r="Z529" s="4"/>
      <c r="AA529" s="4"/>
      <c r="AB529" s="4"/>
      <c r="AC529" s="4"/>
      <c r="AD529" s="4"/>
      <c r="AE529" s="25"/>
      <c r="AF529" s="4"/>
      <c r="AG529" s="4"/>
      <c r="AH529" s="4"/>
      <c r="AI529" s="4"/>
      <c r="AM529" s="26"/>
      <c r="AN529" s="26"/>
      <c r="AO529" s="26"/>
      <c r="AP529" s="26"/>
    </row>
    <row r="530" spans="1:42" ht="12.75" customHeight="1" x14ac:dyDescent="0.2">
      <c r="A530" s="5"/>
      <c r="B530" s="5"/>
      <c r="C530" s="5"/>
      <c r="E530" s="5"/>
      <c r="F530" s="5"/>
      <c r="N530" s="5"/>
      <c r="O530" s="5"/>
      <c r="X530" s="4"/>
      <c r="Y530" s="4"/>
      <c r="Z530" s="4"/>
      <c r="AA530" s="4"/>
      <c r="AB530" s="4"/>
      <c r="AC530" s="4"/>
      <c r="AD530" s="4"/>
      <c r="AE530" s="25"/>
      <c r="AF530" s="4"/>
      <c r="AG530" s="4"/>
      <c r="AH530" s="4"/>
      <c r="AI530" s="4"/>
      <c r="AM530" s="26"/>
      <c r="AN530" s="26"/>
      <c r="AO530" s="26"/>
      <c r="AP530" s="26"/>
    </row>
    <row r="531" spans="1:42" ht="12.75" customHeight="1" x14ac:dyDescent="0.2">
      <c r="A531" s="5"/>
      <c r="B531" s="5"/>
      <c r="C531" s="5"/>
      <c r="E531" s="5"/>
      <c r="F531" s="5"/>
      <c r="N531" s="5"/>
      <c r="O531" s="5"/>
      <c r="X531" s="4"/>
      <c r="Y531" s="4"/>
      <c r="Z531" s="4"/>
      <c r="AA531" s="4"/>
      <c r="AB531" s="4"/>
      <c r="AC531" s="4"/>
      <c r="AD531" s="4"/>
      <c r="AE531" s="25"/>
      <c r="AF531" s="4"/>
      <c r="AG531" s="4"/>
      <c r="AH531" s="4"/>
      <c r="AI531" s="4"/>
      <c r="AM531" s="26"/>
      <c r="AN531" s="26"/>
      <c r="AO531" s="26"/>
      <c r="AP531" s="26"/>
    </row>
    <row r="532" spans="1:42" ht="12.75" customHeight="1" x14ac:dyDescent="0.2">
      <c r="A532" s="5"/>
      <c r="B532" s="5"/>
      <c r="C532" s="5"/>
      <c r="E532" s="5"/>
      <c r="F532" s="5"/>
      <c r="N532" s="5"/>
      <c r="O532" s="5"/>
      <c r="X532" s="4"/>
      <c r="Y532" s="4"/>
      <c r="Z532" s="4"/>
      <c r="AA532" s="4"/>
      <c r="AB532" s="4"/>
      <c r="AC532" s="4"/>
      <c r="AD532" s="4"/>
      <c r="AE532" s="25"/>
      <c r="AF532" s="4"/>
      <c r="AG532" s="4"/>
      <c r="AH532" s="4"/>
      <c r="AI532" s="4"/>
      <c r="AM532" s="26"/>
      <c r="AN532" s="26"/>
      <c r="AO532" s="26"/>
      <c r="AP532" s="26"/>
    </row>
    <row r="533" spans="1:42" ht="12.75" customHeight="1" x14ac:dyDescent="0.2">
      <c r="A533" s="5"/>
      <c r="B533" s="5"/>
      <c r="C533" s="5"/>
      <c r="E533" s="5"/>
      <c r="F533" s="5"/>
      <c r="N533" s="5"/>
      <c r="O533" s="5"/>
      <c r="X533" s="4"/>
      <c r="Y533" s="4"/>
      <c r="Z533" s="4"/>
      <c r="AA533" s="4"/>
      <c r="AB533" s="4"/>
      <c r="AC533" s="4"/>
      <c r="AD533" s="4"/>
      <c r="AE533" s="25"/>
      <c r="AF533" s="4"/>
      <c r="AG533" s="4"/>
      <c r="AH533" s="4"/>
      <c r="AI533" s="4"/>
      <c r="AM533" s="26"/>
      <c r="AN533" s="26"/>
      <c r="AO533" s="26"/>
      <c r="AP533" s="26"/>
    </row>
    <row r="534" spans="1:42" ht="12.75" customHeight="1" x14ac:dyDescent="0.2">
      <c r="A534" s="5"/>
      <c r="B534" s="5"/>
      <c r="C534" s="5"/>
      <c r="E534" s="5"/>
      <c r="F534" s="5"/>
      <c r="N534" s="5"/>
      <c r="O534" s="5"/>
      <c r="X534" s="4"/>
      <c r="Y534" s="4"/>
      <c r="Z534" s="4"/>
      <c r="AA534" s="4"/>
      <c r="AB534" s="4"/>
      <c r="AC534" s="4"/>
      <c r="AD534" s="4"/>
      <c r="AE534" s="25"/>
      <c r="AF534" s="4"/>
      <c r="AG534" s="4"/>
      <c r="AH534" s="4"/>
      <c r="AI534" s="4"/>
      <c r="AM534" s="26"/>
      <c r="AN534" s="26"/>
      <c r="AO534" s="26"/>
      <c r="AP534" s="26"/>
    </row>
    <row r="535" spans="1:42" ht="12.75" customHeight="1" x14ac:dyDescent="0.2">
      <c r="A535" s="5"/>
      <c r="B535" s="5"/>
      <c r="C535" s="5"/>
      <c r="E535" s="5"/>
      <c r="F535" s="5"/>
      <c r="N535" s="5"/>
      <c r="O535" s="5"/>
      <c r="X535" s="4"/>
      <c r="Y535" s="4"/>
      <c r="Z535" s="4"/>
      <c r="AA535" s="4"/>
      <c r="AB535" s="4"/>
      <c r="AC535" s="4"/>
      <c r="AD535" s="4"/>
      <c r="AE535" s="25"/>
      <c r="AF535" s="4"/>
      <c r="AG535" s="4"/>
      <c r="AH535" s="4"/>
      <c r="AI535" s="4"/>
      <c r="AM535" s="26"/>
      <c r="AN535" s="26"/>
      <c r="AO535" s="26"/>
      <c r="AP535" s="26"/>
    </row>
    <row r="536" spans="1:42" ht="12.75" customHeight="1" x14ac:dyDescent="0.2">
      <c r="A536" s="5"/>
      <c r="B536" s="5"/>
      <c r="C536" s="5"/>
      <c r="E536" s="5"/>
      <c r="F536" s="5"/>
      <c r="N536" s="5"/>
      <c r="O536" s="5"/>
      <c r="X536" s="4"/>
      <c r="Y536" s="4"/>
      <c r="Z536" s="4"/>
      <c r="AA536" s="4"/>
      <c r="AB536" s="4"/>
      <c r="AC536" s="4"/>
      <c r="AD536" s="4"/>
      <c r="AE536" s="25"/>
      <c r="AF536" s="4"/>
      <c r="AG536" s="4"/>
      <c r="AH536" s="4"/>
      <c r="AI536" s="4"/>
      <c r="AM536" s="26"/>
      <c r="AN536" s="26"/>
      <c r="AO536" s="26"/>
      <c r="AP536" s="26"/>
    </row>
    <row r="537" spans="1:42" ht="12.75" customHeight="1" x14ac:dyDescent="0.2">
      <c r="A537" s="5"/>
      <c r="B537" s="5"/>
      <c r="C537" s="5"/>
      <c r="E537" s="5"/>
      <c r="F537" s="5"/>
      <c r="N537" s="5"/>
      <c r="O537" s="5"/>
      <c r="X537" s="4"/>
      <c r="Y537" s="4"/>
      <c r="Z537" s="4"/>
      <c r="AA537" s="4"/>
      <c r="AB537" s="4"/>
      <c r="AC537" s="4"/>
      <c r="AD537" s="4"/>
      <c r="AE537" s="25"/>
      <c r="AF537" s="4"/>
      <c r="AG537" s="4"/>
      <c r="AH537" s="4"/>
      <c r="AI537" s="4"/>
      <c r="AM537" s="26"/>
      <c r="AN537" s="26"/>
      <c r="AO537" s="26"/>
      <c r="AP537" s="26"/>
    </row>
    <row r="538" spans="1:42" ht="12.75" customHeight="1" x14ac:dyDescent="0.2">
      <c r="A538" s="5"/>
      <c r="B538" s="5"/>
      <c r="C538" s="5"/>
      <c r="E538" s="5"/>
      <c r="F538" s="5"/>
      <c r="N538" s="5"/>
      <c r="O538" s="5"/>
      <c r="X538" s="4"/>
      <c r="Y538" s="4"/>
      <c r="Z538" s="4"/>
      <c r="AA538" s="4"/>
      <c r="AB538" s="4"/>
      <c r="AC538" s="4"/>
      <c r="AD538" s="4"/>
      <c r="AE538" s="25"/>
      <c r="AF538" s="4"/>
      <c r="AG538" s="4"/>
      <c r="AH538" s="4"/>
      <c r="AI538" s="4"/>
      <c r="AM538" s="26"/>
      <c r="AN538" s="26"/>
      <c r="AO538" s="26"/>
      <c r="AP538" s="26"/>
    </row>
    <row r="539" spans="1:42" ht="12.75" customHeight="1" x14ac:dyDescent="0.2">
      <c r="A539" s="5"/>
      <c r="B539" s="5"/>
      <c r="C539" s="5"/>
      <c r="E539" s="5"/>
      <c r="F539" s="5"/>
      <c r="N539" s="5"/>
      <c r="O539" s="5"/>
      <c r="X539" s="4"/>
      <c r="Y539" s="4"/>
      <c r="Z539" s="4"/>
      <c r="AA539" s="4"/>
      <c r="AB539" s="4"/>
      <c r="AC539" s="4"/>
      <c r="AD539" s="4"/>
      <c r="AE539" s="25"/>
      <c r="AF539" s="4"/>
      <c r="AG539" s="4"/>
      <c r="AH539" s="4"/>
      <c r="AI539" s="4"/>
      <c r="AM539" s="26"/>
      <c r="AN539" s="26"/>
      <c r="AO539" s="26"/>
      <c r="AP539" s="26"/>
    </row>
    <row r="540" spans="1:42" ht="12.75" customHeight="1" x14ac:dyDescent="0.2">
      <c r="A540" s="5"/>
      <c r="B540" s="5"/>
      <c r="C540" s="5"/>
      <c r="E540" s="5"/>
      <c r="F540" s="5"/>
      <c r="N540" s="5"/>
      <c r="O540" s="5"/>
      <c r="X540" s="4"/>
      <c r="Y540" s="4"/>
      <c r="Z540" s="4"/>
      <c r="AA540" s="4"/>
      <c r="AB540" s="4"/>
      <c r="AC540" s="4"/>
      <c r="AD540" s="4"/>
      <c r="AE540" s="25"/>
      <c r="AF540" s="4"/>
      <c r="AG540" s="4"/>
      <c r="AH540" s="4"/>
      <c r="AI540" s="4"/>
      <c r="AM540" s="26"/>
      <c r="AN540" s="26"/>
      <c r="AO540" s="26"/>
      <c r="AP540" s="26"/>
    </row>
    <row r="541" spans="1:42" ht="12.75" customHeight="1" x14ac:dyDescent="0.2">
      <c r="A541" s="5"/>
      <c r="B541" s="5"/>
      <c r="C541" s="5"/>
      <c r="E541" s="5"/>
      <c r="F541" s="5"/>
      <c r="N541" s="5"/>
      <c r="O541" s="5"/>
      <c r="X541" s="4"/>
      <c r="Y541" s="4"/>
      <c r="Z541" s="4"/>
      <c r="AA541" s="4"/>
      <c r="AB541" s="4"/>
      <c r="AC541" s="4"/>
      <c r="AD541" s="4"/>
      <c r="AE541" s="25"/>
      <c r="AF541" s="4"/>
      <c r="AG541" s="4"/>
      <c r="AH541" s="4"/>
      <c r="AI541" s="4"/>
      <c r="AM541" s="26"/>
      <c r="AN541" s="26"/>
      <c r="AO541" s="26"/>
      <c r="AP541" s="26"/>
    </row>
    <row r="542" spans="1:42" ht="12.75" customHeight="1" x14ac:dyDescent="0.2">
      <c r="A542" s="5"/>
      <c r="B542" s="5"/>
      <c r="C542" s="5"/>
      <c r="E542" s="5"/>
      <c r="F542" s="5"/>
      <c r="N542" s="5"/>
      <c r="O542" s="5"/>
      <c r="X542" s="4"/>
      <c r="Y542" s="4"/>
      <c r="Z542" s="4"/>
      <c r="AA542" s="4"/>
      <c r="AB542" s="4"/>
      <c r="AC542" s="4"/>
      <c r="AD542" s="4"/>
      <c r="AE542" s="25"/>
      <c r="AF542" s="4"/>
      <c r="AG542" s="4"/>
      <c r="AH542" s="4"/>
      <c r="AI542" s="4"/>
      <c r="AM542" s="26"/>
      <c r="AN542" s="26"/>
      <c r="AO542" s="26"/>
      <c r="AP542" s="26"/>
    </row>
    <row r="543" spans="1:42" ht="12.75" customHeight="1" x14ac:dyDescent="0.2">
      <c r="A543" s="5"/>
      <c r="B543" s="5"/>
      <c r="C543" s="5"/>
      <c r="E543" s="5"/>
      <c r="F543" s="5"/>
      <c r="N543" s="5"/>
      <c r="O543" s="5"/>
      <c r="X543" s="4"/>
      <c r="Y543" s="4"/>
      <c r="Z543" s="4"/>
      <c r="AA543" s="4"/>
      <c r="AB543" s="4"/>
      <c r="AC543" s="4"/>
      <c r="AD543" s="4"/>
      <c r="AE543" s="25"/>
      <c r="AF543" s="4"/>
      <c r="AG543" s="4"/>
      <c r="AH543" s="4"/>
      <c r="AI543" s="4"/>
      <c r="AM543" s="26"/>
      <c r="AN543" s="26"/>
      <c r="AO543" s="26"/>
      <c r="AP543" s="26"/>
    </row>
    <row r="544" spans="1:42" ht="12.75" customHeight="1" x14ac:dyDescent="0.2">
      <c r="A544" s="5"/>
      <c r="B544" s="5"/>
      <c r="C544" s="5"/>
      <c r="E544" s="5"/>
      <c r="F544" s="5"/>
      <c r="N544" s="5"/>
      <c r="O544" s="5"/>
      <c r="X544" s="4"/>
      <c r="Y544" s="4"/>
      <c r="Z544" s="4"/>
      <c r="AA544" s="4"/>
      <c r="AB544" s="4"/>
      <c r="AC544" s="4"/>
      <c r="AD544" s="4"/>
      <c r="AE544" s="25"/>
      <c r="AF544" s="4"/>
      <c r="AG544" s="4"/>
      <c r="AH544" s="4"/>
      <c r="AI544" s="4"/>
      <c r="AM544" s="26"/>
      <c r="AN544" s="26"/>
      <c r="AO544" s="26"/>
      <c r="AP544" s="26"/>
    </row>
    <row r="545" spans="1:42" ht="12.75" customHeight="1" x14ac:dyDescent="0.2">
      <c r="A545" s="5"/>
      <c r="B545" s="5"/>
      <c r="C545" s="5"/>
      <c r="E545" s="5"/>
      <c r="F545" s="5"/>
      <c r="N545" s="5"/>
      <c r="O545" s="5"/>
      <c r="X545" s="4"/>
      <c r="Y545" s="4"/>
      <c r="Z545" s="4"/>
      <c r="AA545" s="4"/>
      <c r="AB545" s="4"/>
      <c r="AC545" s="4"/>
      <c r="AD545" s="4"/>
      <c r="AE545" s="25"/>
      <c r="AF545" s="4"/>
      <c r="AG545" s="4"/>
      <c r="AH545" s="4"/>
      <c r="AI545" s="4"/>
      <c r="AM545" s="26"/>
      <c r="AN545" s="26"/>
      <c r="AO545" s="26"/>
      <c r="AP545" s="26"/>
    </row>
    <row r="546" spans="1:42" ht="12.75" customHeight="1" x14ac:dyDescent="0.2">
      <c r="A546" s="5"/>
      <c r="B546" s="5"/>
      <c r="C546" s="5"/>
      <c r="E546" s="5"/>
      <c r="F546" s="5"/>
      <c r="N546" s="5"/>
      <c r="O546" s="5"/>
      <c r="X546" s="4"/>
      <c r="Y546" s="4"/>
      <c r="Z546" s="4"/>
      <c r="AA546" s="4"/>
      <c r="AB546" s="4"/>
      <c r="AC546" s="4"/>
      <c r="AD546" s="4"/>
      <c r="AE546" s="25"/>
      <c r="AF546" s="4"/>
      <c r="AG546" s="4"/>
      <c r="AH546" s="4"/>
      <c r="AI546" s="4"/>
      <c r="AM546" s="26"/>
      <c r="AN546" s="26"/>
      <c r="AO546" s="26"/>
      <c r="AP546" s="26"/>
    </row>
    <row r="547" spans="1:42" ht="12.75" customHeight="1" x14ac:dyDescent="0.2">
      <c r="A547" s="5"/>
      <c r="B547" s="5"/>
      <c r="C547" s="5"/>
      <c r="E547" s="5"/>
      <c r="F547" s="5"/>
      <c r="N547" s="5"/>
      <c r="O547" s="5"/>
      <c r="X547" s="4"/>
      <c r="Y547" s="4"/>
      <c r="Z547" s="4"/>
      <c r="AA547" s="4"/>
      <c r="AB547" s="4"/>
      <c r="AC547" s="4"/>
      <c r="AD547" s="4"/>
      <c r="AE547" s="25"/>
      <c r="AF547" s="4"/>
      <c r="AG547" s="4"/>
      <c r="AH547" s="4"/>
      <c r="AI547" s="4"/>
      <c r="AM547" s="26"/>
      <c r="AN547" s="26"/>
      <c r="AO547" s="26"/>
      <c r="AP547" s="26"/>
    </row>
    <row r="548" spans="1:42" ht="12.75" customHeight="1" x14ac:dyDescent="0.2">
      <c r="A548" s="5"/>
      <c r="B548" s="5"/>
      <c r="C548" s="5"/>
      <c r="E548" s="5"/>
      <c r="F548" s="5"/>
      <c r="N548" s="5"/>
      <c r="O548" s="5"/>
      <c r="X548" s="4"/>
      <c r="Y548" s="4"/>
      <c r="Z548" s="4"/>
      <c r="AA548" s="4"/>
      <c r="AB548" s="4"/>
      <c r="AC548" s="4"/>
      <c r="AD548" s="4"/>
      <c r="AE548" s="25"/>
      <c r="AF548" s="4"/>
      <c r="AG548" s="4"/>
      <c r="AH548" s="4"/>
      <c r="AI548" s="4"/>
      <c r="AM548" s="26"/>
      <c r="AN548" s="26"/>
      <c r="AO548" s="26"/>
      <c r="AP548" s="26"/>
    </row>
    <row r="549" spans="1:42" ht="12.75" customHeight="1" x14ac:dyDescent="0.2">
      <c r="A549" s="5"/>
      <c r="B549" s="5"/>
      <c r="C549" s="5"/>
      <c r="E549" s="5"/>
      <c r="F549" s="5"/>
      <c r="N549" s="5"/>
      <c r="O549" s="5"/>
      <c r="X549" s="4"/>
      <c r="Y549" s="4"/>
      <c r="Z549" s="4"/>
      <c r="AA549" s="4"/>
      <c r="AB549" s="4"/>
      <c r="AC549" s="4"/>
      <c r="AD549" s="4"/>
      <c r="AE549" s="25"/>
      <c r="AF549" s="4"/>
      <c r="AG549" s="4"/>
      <c r="AH549" s="4"/>
      <c r="AI549" s="4"/>
      <c r="AM549" s="26"/>
      <c r="AN549" s="26"/>
      <c r="AO549" s="26"/>
      <c r="AP549" s="26"/>
    </row>
    <row r="550" spans="1:42" ht="12.75" customHeight="1" x14ac:dyDescent="0.2">
      <c r="A550" s="5"/>
      <c r="B550" s="5"/>
      <c r="C550" s="5"/>
      <c r="E550" s="5"/>
      <c r="F550" s="5"/>
      <c r="N550" s="5"/>
      <c r="O550" s="5"/>
      <c r="X550" s="4"/>
      <c r="Y550" s="4"/>
      <c r="Z550" s="4"/>
      <c r="AA550" s="4"/>
      <c r="AB550" s="4"/>
      <c r="AC550" s="4"/>
      <c r="AD550" s="4"/>
      <c r="AE550" s="25"/>
      <c r="AF550" s="4"/>
      <c r="AG550" s="4"/>
      <c r="AH550" s="4"/>
      <c r="AI550" s="4"/>
      <c r="AM550" s="26"/>
      <c r="AN550" s="26"/>
      <c r="AO550" s="26"/>
      <c r="AP550" s="26"/>
    </row>
    <row r="551" spans="1:42" ht="12.75" customHeight="1" x14ac:dyDescent="0.2">
      <c r="A551" s="5"/>
      <c r="B551" s="5"/>
      <c r="C551" s="5"/>
      <c r="E551" s="5"/>
      <c r="F551" s="5"/>
      <c r="N551" s="5"/>
      <c r="O551" s="5"/>
      <c r="X551" s="4"/>
      <c r="Y551" s="4"/>
      <c r="Z551" s="4"/>
      <c r="AA551" s="4"/>
      <c r="AB551" s="4"/>
      <c r="AC551" s="4"/>
      <c r="AD551" s="4"/>
      <c r="AE551" s="25"/>
      <c r="AF551" s="4"/>
      <c r="AG551" s="4"/>
      <c r="AH551" s="4"/>
      <c r="AI551" s="4"/>
      <c r="AM551" s="26"/>
      <c r="AN551" s="26"/>
      <c r="AO551" s="26"/>
      <c r="AP551" s="26"/>
    </row>
    <row r="552" spans="1:42" ht="12.75" customHeight="1" x14ac:dyDescent="0.2">
      <c r="A552" s="5"/>
      <c r="B552" s="5"/>
      <c r="C552" s="5"/>
      <c r="E552" s="5"/>
      <c r="F552" s="5"/>
      <c r="N552" s="5"/>
      <c r="O552" s="5"/>
      <c r="X552" s="4"/>
      <c r="Y552" s="4"/>
      <c r="Z552" s="4"/>
      <c r="AA552" s="4"/>
      <c r="AB552" s="4"/>
      <c r="AC552" s="4"/>
      <c r="AD552" s="4"/>
      <c r="AE552" s="25"/>
      <c r="AF552" s="4"/>
      <c r="AG552" s="4"/>
      <c r="AH552" s="4"/>
      <c r="AI552" s="4"/>
      <c r="AM552" s="26"/>
      <c r="AN552" s="26"/>
      <c r="AO552" s="26"/>
      <c r="AP552" s="26"/>
    </row>
    <row r="553" spans="1:42" ht="12.75" customHeight="1" x14ac:dyDescent="0.2">
      <c r="A553" s="5"/>
      <c r="B553" s="5"/>
      <c r="C553" s="5"/>
      <c r="E553" s="5"/>
      <c r="F553" s="5"/>
      <c r="N553" s="5"/>
      <c r="O553" s="5"/>
      <c r="X553" s="4"/>
      <c r="Y553" s="4"/>
      <c r="Z553" s="4"/>
      <c r="AA553" s="4"/>
      <c r="AB553" s="4"/>
      <c r="AC553" s="4"/>
      <c r="AD553" s="4"/>
      <c r="AE553" s="25"/>
      <c r="AF553" s="4"/>
      <c r="AG553" s="4"/>
      <c r="AH553" s="4"/>
      <c r="AI553" s="4"/>
      <c r="AM553" s="26"/>
      <c r="AN553" s="26"/>
      <c r="AO553" s="26"/>
      <c r="AP553" s="26"/>
    </row>
    <row r="554" spans="1:42" ht="12.75" customHeight="1" x14ac:dyDescent="0.2">
      <c r="A554" s="5"/>
      <c r="B554" s="5"/>
      <c r="C554" s="5"/>
      <c r="E554" s="5"/>
      <c r="F554" s="5"/>
      <c r="N554" s="5"/>
      <c r="O554" s="5"/>
      <c r="X554" s="4"/>
      <c r="Y554" s="4"/>
      <c r="Z554" s="4"/>
      <c r="AA554" s="4"/>
      <c r="AB554" s="4"/>
      <c r="AC554" s="4"/>
      <c r="AD554" s="4"/>
      <c r="AE554" s="25"/>
      <c r="AF554" s="4"/>
      <c r="AG554" s="4"/>
      <c r="AH554" s="4"/>
      <c r="AI554" s="4"/>
      <c r="AM554" s="26"/>
      <c r="AN554" s="26"/>
      <c r="AO554" s="26"/>
      <c r="AP554" s="26"/>
    </row>
    <row r="555" spans="1:42" ht="12.75" customHeight="1" x14ac:dyDescent="0.2">
      <c r="A555" s="5"/>
      <c r="B555" s="5"/>
      <c r="C555" s="5"/>
      <c r="E555" s="5"/>
      <c r="F555" s="5"/>
      <c r="N555" s="5"/>
      <c r="O555" s="5"/>
      <c r="X555" s="4"/>
      <c r="Y555" s="4"/>
      <c r="Z555" s="4"/>
      <c r="AA555" s="4"/>
      <c r="AB555" s="4"/>
      <c r="AC555" s="4"/>
      <c r="AD555" s="4"/>
      <c r="AE555" s="25"/>
      <c r="AF555" s="4"/>
      <c r="AG555" s="4"/>
      <c r="AH555" s="4"/>
      <c r="AI555" s="4"/>
      <c r="AM555" s="26"/>
      <c r="AN555" s="26"/>
      <c r="AO555" s="26"/>
      <c r="AP555" s="26"/>
    </row>
    <row r="556" spans="1:42" ht="12.75" customHeight="1" x14ac:dyDescent="0.2">
      <c r="A556" s="5"/>
      <c r="B556" s="5"/>
      <c r="C556" s="5"/>
      <c r="E556" s="5"/>
      <c r="F556" s="5"/>
      <c r="N556" s="5"/>
      <c r="O556" s="5"/>
      <c r="X556" s="4"/>
      <c r="Y556" s="4"/>
      <c r="Z556" s="4"/>
      <c r="AA556" s="4"/>
      <c r="AB556" s="4"/>
      <c r="AC556" s="4"/>
      <c r="AD556" s="4"/>
      <c r="AE556" s="25"/>
      <c r="AF556" s="4"/>
      <c r="AG556" s="4"/>
      <c r="AH556" s="4"/>
      <c r="AI556" s="4"/>
      <c r="AM556" s="26"/>
      <c r="AN556" s="26"/>
      <c r="AO556" s="26"/>
      <c r="AP556" s="26"/>
    </row>
    <row r="557" spans="1:42" ht="12.75" customHeight="1" x14ac:dyDescent="0.2">
      <c r="A557" s="5"/>
      <c r="B557" s="5"/>
      <c r="C557" s="5"/>
      <c r="E557" s="5"/>
      <c r="F557" s="5"/>
      <c r="N557" s="5"/>
      <c r="O557" s="5"/>
      <c r="X557" s="4"/>
      <c r="Y557" s="4"/>
      <c r="Z557" s="4"/>
      <c r="AA557" s="4"/>
      <c r="AB557" s="4"/>
      <c r="AC557" s="4"/>
      <c r="AD557" s="4"/>
      <c r="AE557" s="25"/>
      <c r="AF557" s="4"/>
      <c r="AG557" s="4"/>
      <c r="AH557" s="4"/>
      <c r="AI557" s="4"/>
      <c r="AM557" s="26"/>
      <c r="AN557" s="26"/>
      <c r="AO557" s="26"/>
      <c r="AP557" s="26"/>
    </row>
    <row r="558" spans="1:42" ht="12.75" customHeight="1" x14ac:dyDescent="0.2">
      <c r="A558" s="5"/>
      <c r="B558" s="5"/>
      <c r="C558" s="5"/>
      <c r="E558" s="5"/>
      <c r="F558" s="5"/>
      <c r="N558" s="5"/>
      <c r="O558" s="5"/>
      <c r="X558" s="4"/>
      <c r="Y558" s="4"/>
      <c r="Z558" s="4"/>
      <c r="AA558" s="4"/>
      <c r="AB558" s="4"/>
      <c r="AC558" s="4"/>
      <c r="AD558" s="4"/>
      <c r="AE558" s="25"/>
      <c r="AF558" s="4"/>
      <c r="AG558" s="4"/>
      <c r="AH558" s="4"/>
      <c r="AI558" s="4"/>
      <c r="AM558" s="26"/>
      <c r="AN558" s="26"/>
      <c r="AO558" s="26"/>
      <c r="AP558" s="26"/>
    </row>
    <row r="559" spans="1:42" ht="12.75" customHeight="1" x14ac:dyDescent="0.2">
      <c r="A559" s="5"/>
      <c r="B559" s="5"/>
      <c r="C559" s="5"/>
      <c r="E559" s="5"/>
      <c r="F559" s="5"/>
      <c r="N559" s="5"/>
      <c r="O559" s="5"/>
      <c r="X559" s="4"/>
      <c r="Y559" s="4"/>
      <c r="Z559" s="4"/>
      <c r="AA559" s="4"/>
      <c r="AB559" s="4"/>
      <c r="AC559" s="4"/>
      <c r="AD559" s="4"/>
      <c r="AE559" s="25"/>
      <c r="AF559" s="4"/>
      <c r="AG559" s="4"/>
      <c r="AH559" s="4"/>
      <c r="AI559" s="4"/>
      <c r="AM559" s="26"/>
      <c r="AN559" s="26"/>
      <c r="AO559" s="26"/>
      <c r="AP559" s="26"/>
    </row>
    <row r="560" spans="1:42" ht="12.75" customHeight="1" x14ac:dyDescent="0.2">
      <c r="A560" s="5"/>
      <c r="B560" s="5"/>
      <c r="C560" s="5"/>
      <c r="E560" s="5"/>
      <c r="F560" s="5"/>
      <c r="N560" s="5"/>
      <c r="O560" s="5"/>
      <c r="X560" s="4"/>
      <c r="Y560" s="4"/>
      <c r="Z560" s="4"/>
      <c r="AA560" s="4"/>
      <c r="AB560" s="4"/>
      <c r="AC560" s="4"/>
      <c r="AD560" s="4"/>
      <c r="AE560" s="25"/>
      <c r="AF560" s="4"/>
      <c r="AG560" s="4"/>
      <c r="AH560" s="4"/>
      <c r="AI560" s="4"/>
      <c r="AM560" s="26"/>
      <c r="AN560" s="26"/>
      <c r="AO560" s="26"/>
      <c r="AP560" s="26"/>
    </row>
    <row r="561" spans="1:42" ht="12.75" customHeight="1" x14ac:dyDescent="0.2">
      <c r="A561" s="5"/>
      <c r="B561" s="5"/>
      <c r="C561" s="5"/>
      <c r="E561" s="5"/>
      <c r="F561" s="5"/>
      <c r="N561" s="5"/>
      <c r="O561" s="5"/>
      <c r="X561" s="4"/>
      <c r="Y561" s="4"/>
      <c r="Z561" s="4"/>
      <c r="AA561" s="4"/>
      <c r="AB561" s="4"/>
      <c r="AC561" s="4"/>
      <c r="AD561" s="4"/>
      <c r="AE561" s="25"/>
      <c r="AF561" s="4"/>
      <c r="AG561" s="4"/>
      <c r="AH561" s="4"/>
      <c r="AI561" s="4"/>
      <c r="AM561" s="26"/>
      <c r="AN561" s="26"/>
      <c r="AO561" s="26"/>
      <c r="AP561" s="26"/>
    </row>
    <row r="562" spans="1:42" ht="12.75" customHeight="1" x14ac:dyDescent="0.2">
      <c r="A562" s="5"/>
      <c r="B562" s="5"/>
      <c r="C562" s="5"/>
      <c r="E562" s="5"/>
      <c r="F562" s="5"/>
      <c r="N562" s="5"/>
      <c r="O562" s="5"/>
      <c r="X562" s="4"/>
      <c r="Y562" s="4"/>
      <c r="Z562" s="4"/>
      <c r="AA562" s="4"/>
      <c r="AB562" s="4"/>
      <c r="AC562" s="4"/>
      <c r="AD562" s="4"/>
      <c r="AE562" s="25"/>
      <c r="AF562" s="4"/>
      <c r="AG562" s="4"/>
      <c r="AH562" s="4"/>
      <c r="AI562" s="4"/>
      <c r="AM562" s="26"/>
      <c r="AN562" s="26"/>
      <c r="AO562" s="26"/>
      <c r="AP562" s="26"/>
    </row>
    <row r="563" spans="1:42" ht="12.75" customHeight="1" x14ac:dyDescent="0.2">
      <c r="A563" s="5"/>
      <c r="B563" s="5"/>
      <c r="C563" s="5"/>
      <c r="E563" s="5"/>
      <c r="F563" s="5"/>
      <c r="N563" s="5"/>
      <c r="O563" s="5"/>
      <c r="X563" s="4"/>
      <c r="Y563" s="4"/>
      <c r="Z563" s="4"/>
      <c r="AA563" s="4"/>
      <c r="AB563" s="4"/>
      <c r="AC563" s="4"/>
      <c r="AD563" s="4"/>
      <c r="AE563" s="25"/>
      <c r="AF563" s="4"/>
      <c r="AG563" s="4"/>
      <c r="AH563" s="4"/>
      <c r="AI563" s="4"/>
      <c r="AM563" s="26"/>
      <c r="AN563" s="26"/>
      <c r="AO563" s="26"/>
      <c r="AP563" s="26"/>
    </row>
    <row r="564" spans="1:42" ht="12.75" customHeight="1" x14ac:dyDescent="0.2">
      <c r="A564" s="5"/>
      <c r="B564" s="5"/>
      <c r="C564" s="5"/>
      <c r="E564" s="5"/>
      <c r="F564" s="5"/>
      <c r="N564" s="5"/>
      <c r="O564" s="5"/>
      <c r="X564" s="4"/>
      <c r="Y564" s="4"/>
      <c r="Z564" s="4"/>
      <c r="AA564" s="4"/>
      <c r="AB564" s="4"/>
      <c r="AC564" s="4"/>
      <c r="AD564" s="4"/>
      <c r="AE564" s="25"/>
      <c r="AF564" s="4"/>
      <c r="AG564" s="4"/>
      <c r="AH564" s="4"/>
      <c r="AI564" s="4"/>
      <c r="AM564" s="26"/>
      <c r="AN564" s="26"/>
      <c r="AO564" s="26"/>
      <c r="AP564" s="26"/>
    </row>
    <row r="565" spans="1:42" ht="12.75" customHeight="1" x14ac:dyDescent="0.2">
      <c r="A565" s="5"/>
      <c r="B565" s="5"/>
      <c r="C565" s="5"/>
      <c r="E565" s="5"/>
      <c r="F565" s="5"/>
      <c r="N565" s="5"/>
      <c r="O565" s="5"/>
      <c r="X565" s="4"/>
      <c r="Y565" s="4"/>
      <c r="Z565" s="4"/>
      <c r="AA565" s="4"/>
      <c r="AB565" s="4"/>
      <c r="AC565" s="4"/>
      <c r="AD565" s="4"/>
      <c r="AE565" s="25"/>
      <c r="AF565" s="4"/>
      <c r="AG565" s="4"/>
      <c r="AH565" s="4"/>
      <c r="AI565" s="4"/>
      <c r="AM565" s="26"/>
      <c r="AN565" s="26"/>
      <c r="AO565" s="26"/>
      <c r="AP565" s="26"/>
    </row>
    <row r="566" spans="1:42" ht="12.75" customHeight="1" x14ac:dyDescent="0.2">
      <c r="A566" s="5"/>
      <c r="B566" s="5"/>
      <c r="C566" s="5"/>
      <c r="E566" s="5"/>
      <c r="F566" s="5"/>
      <c r="N566" s="5"/>
      <c r="O566" s="5"/>
      <c r="X566" s="4"/>
      <c r="Y566" s="4"/>
      <c r="Z566" s="4"/>
      <c r="AA566" s="4"/>
      <c r="AB566" s="4"/>
      <c r="AC566" s="4"/>
      <c r="AD566" s="4"/>
      <c r="AE566" s="25"/>
      <c r="AF566" s="4"/>
      <c r="AG566" s="4"/>
      <c r="AH566" s="4"/>
      <c r="AI566" s="4"/>
      <c r="AM566" s="26"/>
      <c r="AN566" s="26"/>
      <c r="AO566" s="26"/>
      <c r="AP566" s="26"/>
    </row>
    <row r="567" spans="1:42" ht="12.75" customHeight="1" x14ac:dyDescent="0.2">
      <c r="A567" s="5"/>
      <c r="B567" s="5"/>
      <c r="C567" s="5"/>
      <c r="E567" s="5"/>
      <c r="F567" s="5"/>
      <c r="N567" s="5"/>
      <c r="O567" s="5"/>
      <c r="X567" s="4"/>
      <c r="Y567" s="4"/>
      <c r="Z567" s="4"/>
      <c r="AA567" s="4"/>
      <c r="AB567" s="4"/>
      <c r="AC567" s="4"/>
      <c r="AD567" s="4"/>
      <c r="AE567" s="25"/>
      <c r="AF567" s="4"/>
      <c r="AG567" s="4"/>
      <c r="AH567" s="4"/>
      <c r="AI567" s="4"/>
      <c r="AM567" s="26"/>
      <c r="AN567" s="26"/>
      <c r="AO567" s="26"/>
      <c r="AP567" s="26"/>
    </row>
    <row r="568" spans="1:42" ht="12.75" customHeight="1" x14ac:dyDescent="0.2">
      <c r="A568" s="5"/>
      <c r="B568" s="5"/>
      <c r="C568" s="5"/>
      <c r="E568" s="5"/>
      <c r="F568" s="5"/>
      <c r="N568" s="5"/>
      <c r="O568" s="5"/>
      <c r="X568" s="4"/>
      <c r="Y568" s="4"/>
      <c r="Z568" s="4"/>
      <c r="AA568" s="4"/>
      <c r="AB568" s="4"/>
      <c r="AC568" s="4"/>
      <c r="AD568" s="4"/>
      <c r="AE568" s="25"/>
      <c r="AF568" s="4"/>
      <c r="AG568" s="4"/>
      <c r="AH568" s="4"/>
      <c r="AI568" s="4"/>
      <c r="AM568" s="26"/>
      <c r="AN568" s="26"/>
      <c r="AO568" s="26"/>
      <c r="AP568" s="26"/>
    </row>
    <row r="569" spans="1:42" ht="12.75" customHeight="1" x14ac:dyDescent="0.2">
      <c r="A569" s="5"/>
      <c r="B569" s="5"/>
      <c r="C569" s="5"/>
      <c r="E569" s="5"/>
      <c r="F569" s="5"/>
      <c r="N569" s="5"/>
      <c r="O569" s="5"/>
      <c r="X569" s="4"/>
      <c r="Y569" s="4"/>
      <c r="Z569" s="4"/>
      <c r="AA569" s="4"/>
      <c r="AB569" s="4"/>
      <c r="AC569" s="4"/>
      <c r="AD569" s="4"/>
      <c r="AE569" s="25"/>
      <c r="AF569" s="4"/>
      <c r="AG569" s="4"/>
      <c r="AH569" s="4"/>
      <c r="AI569" s="4"/>
      <c r="AM569" s="26"/>
      <c r="AN569" s="26"/>
      <c r="AO569" s="26"/>
      <c r="AP569" s="26"/>
    </row>
    <row r="570" spans="1:42" ht="12.75" customHeight="1" x14ac:dyDescent="0.2">
      <c r="A570" s="5"/>
      <c r="B570" s="5"/>
      <c r="C570" s="5"/>
      <c r="E570" s="5"/>
      <c r="F570" s="5"/>
      <c r="N570" s="5"/>
      <c r="O570" s="5"/>
      <c r="X570" s="4"/>
      <c r="Y570" s="4"/>
      <c r="Z570" s="4"/>
      <c r="AA570" s="4"/>
      <c r="AB570" s="4"/>
      <c r="AC570" s="4"/>
      <c r="AD570" s="4"/>
      <c r="AE570" s="25"/>
      <c r="AF570" s="4"/>
      <c r="AG570" s="4"/>
      <c r="AH570" s="4"/>
      <c r="AI570" s="4"/>
      <c r="AM570" s="26"/>
      <c r="AN570" s="26"/>
      <c r="AO570" s="26"/>
      <c r="AP570" s="26"/>
    </row>
    <row r="571" spans="1:42" ht="12.75" customHeight="1" x14ac:dyDescent="0.2">
      <c r="A571" s="5"/>
      <c r="B571" s="5"/>
      <c r="C571" s="5"/>
      <c r="E571" s="5"/>
      <c r="F571" s="5"/>
      <c r="N571" s="5"/>
      <c r="O571" s="5"/>
      <c r="X571" s="4"/>
      <c r="Y571" s="4"/>
      <c r="Z571" s="4"/>
      <c r="AA571" s="4"/>
      <c r="AB571" s="4"/>
      <c r="AC571" s="4"/>
      <c r="AD571" s="4"/>
      <c r="AE571" s="25"/>
      <c r="AF571" s="4"/>
      <c r="AG571" s="4"/>
      <c r="AH571" s="4"/>
      <c r="AI571" s="4"/>
      <c r="AM571" s="26"/>
      <c r="AN571" s="26"/>
      <c r="AO571" s="26"/>
      <c r="AP571" s="26"/>
    </row>
    <row r="572" spans="1:42" ht="12.75" customHeight="1" x14ac:dyDescent="0.2">
      <c r="A572" s="5"/>
      <c r="B572" s="5"/>
      <c r="C572" s="5"/>
      <c r="E572" s="5"/>
      <c r="F572" s="5"/>
      <c r="N572" s="5"/>
      <c r="O572" s="5"/>
      <c r="X572" s="4"/>
      <c r="Y572" s="4"/>
      <c r="Z572" s="4"/>
      <c r="AA572" s="4"/>
      <c r="AB572" s="4"/>
      <c r="AC572" s="4"/>
      <c r="AD572" s="4"/>
      <c r="AE572" s="25"/>
      <c r="AF572" s="4"/>
      <c r="AG572" s="4"/>
      <c r="AH572" s="4"/>
      <c r="AI572" s="4"/>
      <c r="AM572" s="26"/>
      <c r="AN572" s="26"/>
      <c r="AO572" s="26"/>
      <c r="AP572" s="26"/>
    </row>
    <row r="573" spans="1:42" ht="12.75" customHeight="1" x14ac:dyDescent="0.2">
      <c r="A573" s="5"/>
      <c r="B573" s="5"/>
      <c r="C573" s="5"/>
      <c r="E573" s="5"/>
      <c r="F573" s="5"/>
      <c r="N573" s="5"/>
      <c r="O573" s="5"/>
      <c r="X573" s="4"/>
      <c r="Y573" s="4"/>
      <c r="Z573" s="4"/>
      <c r="AA573" s="4"/>
      <c r="AB573" s="4"/>
      <c r="AC573" s="4"/>
      <c r="AD573" s="4"/>
      <c r="AE573" s="25"/>
      <c r="AF573" s="4"/>
      <c r="AG573" s="4"/>
      <c r="AH573" s="4"/>
      <c r="AI573" s="4"/>
      <c r="AM573" s="26"/>
      <c r="AN573" s="26"/>
      <c r="AO573" s="26"/>
      <c r="AP573" s="26"/>
    </row>
    <row r="574" spans="1:42" ht="12.75" customHeight="1" x14ac:dyDescent="0.2">
      <c r="A574" s="5"/>
      <c r="B574" s="5"/>
      <c r="C574" s="5"/>
      <c r="E574" s="5"/>
      <c r="F574" s="5"/>
      <c r="N574" s="5"/>
      <c r="O574" s="5"/>
      <c r="X574" s="4"/>
      <c r="Y574" s="4"/>
      <c r="Z574" s="4"/>
      <c r="AA574" s="4"/>
      <c r="AB574" s="4"/>
      <c r="AC574" s="4"/>
      <c r="AD574" s="4"/>
      <c r="AE574" s="25"/>
      <c r="AF574" s="4"/>
      <c r="AG574" s="4"/>
      <c r="AH574" s="4"/>
      <c r="AI574" s="4"/>
      <c r="AM574" s="26"/>
      <c r="AN574" s="26"/>
      <c r="AO574" s="26"/>
      <c r="AP574" s="26"/>
    </row>
    <row r="575" spans="1:42" ht="12.75" customHeight="1" x14ac:dyDescent="0.2">
      <c r="A575" s="5"/>
      <c r="B575" s="5"/>
      <c r="C575" s="5"/>
      <c r="E575" s="5"/>
      <c r="F575" s="5"/>
      <c r="N575" s="5"/>
      <c r="O575" s="5"/>
      <c r="X575" s="4"/>
      <c r="Y575" s="4"/>
      <c r="Z575" s="4"/>
      <c r="AA575" s="4"/>
      <c r="AB575" s="4"/>
      <c r="AC575" s="4"/>
      <c r="AD575" s="4"/>
      <c r="AE575" s="25"/>
      <c r="AF575" s="4"/>
      <c r="AG575" s="4"/>
      <c r="AH575" s="4"/>
      <c r="AI575" s="4"/>
      <c r="AM575" s="26"/>
      <c r="AN575" s="26"/>
      <c r="AO575" s="26"/>
      <c r="AP575" s="26"/>
    </row>
    <row r="576" spans="1:42" ht="12.75" customHeight="1" x14ac:dyDescent="0.2">
      <c r="A576" s="5"/>
      <c r="B576" s="5"/>
      <c r="C576" s="5"/>
      <c r="E576" s="5"/>
      <c r="F576" s="5"/>
      <c r="N576" s="5"/>
      <c r="O576" s="5"/>
      <c r="X576" s="4"/>
      <c r="Y576" s="4"/>
      <c r="Z576" s="4"/>
      <c r="AA576" s="4"/>
      <c r="AB576" s="4"/>
      <c r="AC576" s="4"/>
      <c r="AD576" s="4"/>
      <c r="AE576" s="25"/>
      <c r="AF576" s="4"/>
      <c r="AG576" s="4"/>
      <c r="AH576" s="4"/>
      <c r="AI576" s="4"/>
      <c r="AM576" s="26"/>
      <c r="AN576" s="26"/>
      <c r="AO576" s="26"/>
      <c r="AP576" s="26"/>
    </row>
    <row r="577" spans="1:42" ht="12.75" customHeight="1" x14ac:dyDescent="0.2">
      <c r="A577" s="5"/>
      <c r="B577" s="5"/>
      <c r="C577" s="5"/>
      <c r="E577" s="5"/>
      <c r="F577" s="5"/>
      <c r="N577" s="5"/>
      <c r="O577" s="5"/>
      <c r="X577" s="4"/>
      <c r="Y577" s="4"/>
      <c r="Z577" s="4"/>
      <c r="AA577" s="4"/>
      <c r="AB577" s="4"/>
      <c r="AC577" s="4"/>
      <c r="AD577" s="4"/>
      <c r="AE577" s="25"/>
      <c r="AF577" s="4"/>
      <c r="AG577" s="4"/>
      <c r="AH577" s="4"/>
      <c r="AI577" s="4"/>
      <c r="AM577" s="26"/>
      <c r="AN577" s="26"/>
      <c r="AO577" s="26"/>
      <c r="AP577" s="26"/>
    </row>
    <row r="578" spans="1:42" ht="12.75" customHeight="1" x14ac:dyDescent="0.2">
      <c r="A578" s="5"/>
      <c r="B578" s="5"/>
      <c r="C578" s="5"/>
      <c r="E578" s="5"/>
      <c r="F578" s="5"/>
      <c r="N578" s="5"/>
      <c r="O578" s="5"/>
      <c r="X578" s="4"/>
      <c r="Y578" s="4"/>
      <c r="Z578" s="4"/>
      <c r="AA578" s="4"/>
      <c r="AB578" s="4"/>
      <c r="AC578" s="4"/>
      <c r="AD578" s="4"/>
      <c r="AE578" s="25"/>
      <c r="AF578" s="4"/>
      <c r="AG578" s="4"/>
      <c r="AH578" s="4"/>
      <c r="AI578" s="4"/>
      <c r="AM578" s="26"/>
      <c r="AN578" s="26"/>
      <c r="AO578" s="26"/>
      <c r="AP578" s="26"/>
    </row>
    <row r="579" spans="1:42" ht="12.75" customHeight="1" x14ac:dyDescent="0.2">
      <c r="A579" s="5"/>
      <c r="B579" s="5"/>
      <c r="C579" s="5"/>
      <c r="E579" s="5"/>
      <c r="F579" s="5"/>
      <c r="N579" s="5"/>
      <c r="O579" s="5"/>
      <c r="X579" s="4"/>
      <c r="Y579" s="4"/>
      <c r="Z579" s="4"/>
      <c r="AA579" s="4"/>
      <c r="AB579" s="4"/>
      <c r="AC579" s="4"/>
      <c r="AD579" s="4"/>
      <c r="AE579" s="25"/>
      <c r="AF579" s="4"/>
      <c r="AG579" s="4"/>
      <c r="AH579" s="4"/>
      <c r="AI579" s="4"/>
      <c r="AM579" s="26"/>
      <c r="AN579" s="26"/>
      <c r="AO579" s="26"/>
      <c r="AP579" s="26"/>
    </row>
    <row r="580" spans="1:42" ht="12.75" customHeight="1" x14ac:dyDescent="0.2">
      <c r="A580" s="5"/>
      <c r="B580" s="5"/>
      <c r="C580" s="5"/>
      <c r="E580" s="5"/>
      <c r="F580" s="5"/>
      <c r="N580" s="5"/>
      <c r="O580" s="5"/>
      <c r="X580" s="4"/>
      <c r="Y580" s="4"/>
      <c r="Z580" s="4"/>
      <c r="AA580" s="4"/>
      <c r="AB580" s="4"/>
      <c r="AC580" s="4"/>
      <c r="AD580" s="4"/>
      <c r="AE580" s="25"/>
      <c r="AF580" s="4"/>
      <c r="AG580" s="4"/>
      <c r="AH580" s="4"/>
      <c r="AI580" s="4"/>
      <c r="AM580" s="26"/>
      <c r="AN580" s="26"/>
      <c r="AO580" s="26"/>
      <c r="AP580" s="26"/>
    </row>
    <row r="581" spans="1:42" ht="12.75" customHeight="1" x14ac:dyDescent="0.2">
      <c r="A581" s="5"/>
      <c r="B581" s="5"/>
      <c r="C581" s="5"/>
      <c r="E581" s="5"/>
      <c r="F581" s="5"/>
      <c r="N581" s="5"/>
      <c r="O581" s="5"/>
      <c r="X581" s="4"/>
      <c r="Y581" s="4"/>
      <c r="Z581" s="4"/>
      <c r="AA581" s="4"/>
      <c r="AB581" s="4"/>
      <c r="AC581" s="4"/>
      <c r="AD581" s="4"/>
      <c r="AE581" s="25"/>
      <c r="AF581" s="4"/>
      <c r="AG581" s="4"/>
      <c r="AH581" s="4"/>
      <c r="AI581" s="4"/>
      <c r="AM581" s="26"/>
      <c r="AN581" s="26"/>
      <c r="AO581" s="26"/>
      <c r="AP581" s="26"/>
    </row>
    <row r="582" spans="1:42" ht="12.75" customHeight="1" x14ac:dyDescent="0.2">
      <c r="A582" s="5"/>
      <c r="B582" s="5"/>
      <c r="C582" s="5"/>
      <c r="E582" s="5"/>
      <c r="F582" s="5"/>
      <c r="N582" s="5"/>
      <c r="O582" s="5"/>
      <c r="X582" s="4"/>
      <c r="Y582" s="4"/>
      <c r="Z582" s="4"/>
      <c r="AA582" s="4"/>
      <c r="AB582" s="4"/>
      <c r="AC582" s="4"/>
      <c r="AD582" s="4"/>
      <c r="AE582" s="25"/>
      <c r="AF582" s="4"/>
      <c r="AG582" s="4"/>
      <c r="AH582" s="4"/>
      <c r="AI582" s="4"/>
      <c r="AM582" s="26"/>
      <c r="AN582" s="26"/>
      <c r="AO582" s="26"/>
      <c r="AP582" s="26"/>
    </row>
    <row r="583" spans="1:42" ht="12.75" customHeight="1" x14ac:dyDescent="0.2">
      <c r="A583" s="5"/>
      <c r="B583" s="5"/>
      <c r="C583" s="5"/>
      <c r="E583" s="5"/>
      <c r="F583" s="5"/>
      <c r="N583" s="5"/>
      <c r="O583" s="5"/>
      <c r="X583" s="4"/>
      <c r="Y583" s="4"/>
      <c r="Z583" s="4"/>
      <c r="AA583" s="4"/>
      <c r="AB583" s="4"/>
      <c r="AC583" s="4"/>
      <c r="AD583" s="4"/>
      <c r="AE583" s="25"/>
      <c r="AF583" s="4"/>
      <c r="AG583" s="4"/>
      <c r="AH583" s="4"/>
      <c r="AI583" s="4"/>
      <c r="AM583" s="26"/>
      <c r="AN583" s="26"/>
      <c r="AO583" s="26"/>
      <c r="AP583" s="26"/>
    </row>
    <row r="584" spans="1:42" ht="12.75" customHeight="1" x14ac:dyDescent="0.2">
      <c r="A584" s="5"/>
      <c r="B584" s="5"/>
      <c r="C584" s="5"/>
      <c r="E584" s="5"/>
      <c r="F584" s="5"/>
      <c r="N584" s="5"/>
      <c r="O584" s="5"/>
      <c r="X584" s="4"/>
      <c r="Y584" s="4"/>
      <c r="Z584" s="4"/>
      <c r="AA584" s="4"/>
      <c r="AB584" s="4"/>
      <c r="AC584" s="4"/>
      <c r="AD584" s="4"/>
      <c r="AE584" s="25"/>
      <c r="AF584" s="4"/>
      <c r="AG584" s="4"/>
      <c r="AH584" s="4"/>
      <c r="AI584" s="4"/>
      <c r="AM584" s="26"/>
      <c r="AN584" s="26"/>
      <c r="AO584" s="26"/>
      <c r="AP584" s="26"/>
    </row>
    <row r="585" spans="1:42" ht="12.75" customHeight="1" x14ac:dyDescent="0.2">
      <c r="A585" s="5"/>
      <c r="B585" s="5"/>
      <c r="C585" s="5"/>
      <c r="E585" s="5"/>
      <c r="F585" s="5"/>
      <c r="N585" s="5"/>
      <c r="O585" s="5"/>
      <c r="X585" s="4"/>
      <c r="Y585" s="4"/>
      <c r="Z585" s="4"/>
      <c r="AA585" s="4"/>
      <c r="AB585" s="4"/>
      <c r="AC585" s="4"/>
      <c r="AD585" s="4"/>
      <c r="AE585" s="25"/>
      <c r="AF585" s="4"/>
      <c r="AG585" s="4"/>
      <c r="AH585" s="4"/>
      <c r="AI585" s="4"/>
      <c r="AM585" s="26"/>
      <c r="AN585" s="26"/>
      <c r="AO585" s="26"/>
      <c r="AP585" s="26"/>
    </row>
    <row r="586" spans="1:42" ht="12.75" customHeight="1" x14ac:dyDescent="0.2">
      <c r="A586" s="5"/>
      <c r="B586" s="5"/>
      <c r="C586" s="5"/>
      <c r="E586" s="5"/>
      <c r="F586" s="5"/>
      <c r="N586" s="5"/>
      <c r="O586" s="5"/>
      <c r="X586" s="4"/>
      <c r="Y586" s="4"/>
      <c r="Z586" s="4"/>
      <c r="AA586" s="4"/>
      <c r="AB586" s="4"/>
      <c r="AC586" s="4"/>
      <c r="AD586" s="4"/>
      <c r="AE586" s="25"/>
      <c r="AF586" s="4"/>
      <c r="AG586" s="4"/>
      <c r="AH586" s="4"/>
      <c r="AI586" s="4"/>
      <c r="AM586" s="26"/>
      <c r="AN586" s="26"/>
      <c r="AO586" s="26"/>
      <c r="AP586" s="26"/>
    </row>
    <row r="587" spans="1:42" ht="12.75" customHeight="1" x14ac:dyDescent="0.2">
      <c r="A587" s="5"/>
      <c r="B587" s="5"/>
      <c r="C587" s="5"/>
      <c r="E587" s="5"/>
      <c r="F587" s="5"/>
      <c r="N587" s="5"/>
      <c r="O587" s="5"/>
      <c r="X587" s="4"/>
      <c r="Y587" s="4"/>
      <c r="Z587" s="4"/>
      <c r="AA587" s="4"/>
      <c r="AB587" s="4"/>
      <c r="AC587" s="4"/>
      <c r="AD587" s="4"/>
      <c r="AE587" s="25"/>
      <c r="AF587" s="4"/>
      <c r="AG587" s="4"/>
      <c r="AH587" s="4"/>
      <c r="AI587" s="4"/>
      <c r="AM587" s="26"/>
      <c r="AN587" s="26"/>
      <c r="AO587" s="26"/>
      <c r="AP587" s="26"/>
    </row>
    <row r="588" spans="1:42" ht="12.75" customHeight="1" x14ac:dyDescent="0.2">
      <c r="A588" s="5"/>
      <c r="B588" s="5"/>
      <c r="C588" s="5"/>
      <c r="E588" s="5"/>
      <c r="F588" s="5"/>
      <c r="N588" s="5"/>
      <c r="O588" s="5"/>
      <c r="X588" s="4"/>
      <c r="Y588" s="4"/>
      <c r="Z588" s="4"/>
      <c r="AA588" s="4"/>
      <c r="AB588" s="4"/>
      <c r="AC588" s="4"/>
      <c r="AD588" s="4"/>
      <c r="AE588" s="25"/>
      <c r="AF588" s="4"/>
      <c r="AG588" s="4"/>
      <c r="AH588" s="4"/>
      <c r="AI588" s="4"/>
      <c r="AM588" s="26"/>
      <c r="AN588" s="26"/>
      <c r="AO588" s="26"/>
      <c r="AP588" s="26"/>
    </row>
    <row r="589" spans="1:42" ht="12.75" customHeight="1" x14ac:dyDescent="0.2">
      <c r="A589" s="5"/>
      <c r="B589" s="5"/>
      <c r="C589" s="5"/>
      <c r="E589" s="5"/>
      <c r="F589" s="5"/>
      <c r="N589" s="5"/>
      <c r="O589" s="5"/>
      <c r="X589" s="4"/>
      <c r="Y589" s="4"/>
      <c r="Z589" s="4"/>
      <c r="AA589" s="4"/>
      <c r="AB589" s="4"/>
      <c r="AC589" s="4"/>
      <c r="AD589" s="4"/>
      <c r="AE589" s="25"/>
      <c r="AF589" s="4"/>
      <c r="AG589" s="4"/>
      <c r="AH589" s="4"/>
      <c r="AI589" s="4"/>
      <c r="AM589" s="26"/>
      <c r="AN589" s="26"/>
      <c r="AO589" s="26"/>
      <c r="AP589" s="26"/>
    </row>
    <row r="590" spans="1:42" ht="12.75" customHeight="1" x14ac:dyDescent="0.2">
      <c r="A590" s="5"/>
      <c r="B590" s="5"/>
      <c r="C590" s="5"/>
      <c r="E590" s="5"/>
      <c r="F590" s="5"/>
      <c r="N590" s="5"/>
      <c r="O590" s="5"/>
      <c r="X590" s="4"/>
      <c r="Y590" s="4"/>
      <c r="Z590" s="4"/>
      <c r="AA590" s="4"/>
      <c r="AB590" s="4"/>
      <c r="AC590" s="4"/>
      <c r="AD590" s="4"/>
      <c r="AE590" s="25"/>
      <c r="AF590" s="4"/>
      <c r="AG590" s="4"/>
      <c r="AH590" s="4"/>
      <c r="AI590" s="4"/>
      <c r="AM590" s="26"/>
      <c r="AN590" s="26"/>
      <c r="AO590" s="26"/>
      <c r="AP590" s="26"/>
    </row>
    <row r="591" spans="1:42" ht="12.75" customHeight="1" x14ac:dyDescent="0.2">
      <c r="A591" s="5"/>
      <c r="B591" s="5"/>
      <c r="C591" s="5"/>
      <c r="E591" s="5"/>
      <c r="F591" s="5"/>
      <c r="N591" s="5"/>
      <c r="O591" s="5"/>
      <c r="X591" s="4"/>
      <c r="Y591" s="4"/>
      <c r="Z591" s="4"/>
      <c r="AA591" s="4"/>
      <c r="AB591" s="4"/>
      <c r="AC591" s="4"/>
      <c r="AD591" s="4"/>
      <c r="AE591" s="25"/>
      <c r="AF591" s="4"/>
      <c r="AG591" s="4"/>
      <c r="AH591" s="4"/>
      <c r="AI591" s="4"/>
      <c r="AM591" s="26"/>
      <c r="AN591" s="26"/>
      <c r="AO591" s="26"/>
      <c r="AP591" s="26"/>
    </row>
    <row r="592" spans="1:42" ht="12.75" customHeight="1" x14ac:dyDescent="0.2">
      <c r="A592" s="5"/>
      <c r="B592" s="5"/>
      <c r="C592" s="5"/>
      <c r="E592" s="5"/>
      <c r="F592" s="5"/>
      <c r="N592" s="5"/>
      <c r="O592" s="5"/>
      <c r="X592" s="4"/>
      <c r="Y592" s="4"/>
      <c r="Z592" s="4"/>
      <c r="AA592" s="4"/>
      <c r="AB592" s="4"/>
      <c r="AC592" s="4"/>
      <c r="AD592" s="4"/>
      <c r="AE592" s="25"/>
      <c r="AF592" s="4"/>
      <c r="AG592" s="4"/>
      <c r="AH592" s="4"/>
      <c r="AI592" s="4"/>
      <c r="AM592" s="26"/>
      <c r="AN592" s="26"/>
      <c r="AO592" s="26"/>
      <c r="AP592" s="26"/>
    </row>
    <row r="593" spans="1:42" ht="12.75" customHeight="1" x14ac:dyDescent="0.2">
      <c r="A593" s="5"/>
      <c r="B593" s="5"/>
      <c r="C593" s="5"/>
      <c r="E593" s="5"/>
      <c r="F593" s="5"/>
      <c r="N593" s="5"/>
      <c r="O593" s="5"/>
      <c r="X593" s="4"/>
      <c r="Y593" s="4"/>
      <c r="Z593" s="4"/>
      <c r="AA593" s="4"/>
      <c r="AB593" s="4"/>
      <c r="AC593" s="4"/>
      <c r="AD593" s="4"/>
      <c r="AE593" s="25"/>
      <c r="AF593" s="4"/>
      <c r="AG593" s="4"/>
      <c r="AH593" s="4"/>
      <c r="AI593" s="4"/>
      <c r="AM593" s="26"/>
      <c r="AN593" s="26"/>
      <c r="AO593" s="26"/>
      <c r="AP593" s="26"/>
    </row>
    <row r="594" spans="1:42" ht="12.75" customHeight="1" x14ac:dyDescent="0.2">
      <c r="A594" s="5"/>
      <c r="B594" s="5"/>
      <c r="C594" s="5"/>
      <c r="E594" s="5"/>
      <c r="F594" s="5"/>
      <c r="N594" s="5"/>
      <c r="O594" s="5"/>
      <c r="X594" s="4"/>
      <c r="Y594" s="4"/>
      <c r="Z594" s="4"/>
      <c r="AA594" s="4"/>
      <c r="AB594" s="4"/>
      <c r="AC594" s="4"/>
      <c r="AD594" s="4"/>
      <c r="AE594" s="25"/>
      <c r="AF594" s="4"/>
      <c r="AG594" s="4"/>
      <c r="AH594" s="4"/>
      <c r="AI594" s="4"/>
      <c r="AM594" s="26"/>
      <c r="AN594" s="26"/>
      <c r="AO594" s="26"/>
      <c r="AP594" s="26"/>
    </row>
    <row r="595" spans="1:42" ht="12.75" customHeight="1" x14ac:dyDescent="0.2">
      <c r="A595" s="5"/>
      <c r="B595" s="5"/>
      <c r="C595" s="5"/>
      <c r="E595" s="5"/>
      <c r="F595" s="5"/>
      <c r="N595" s="5"/>
      <c r="O595" s="5"/>
      <c r="X595" s="4"/>
      <c r="Y595" s="4"/>
      <c r="Z595" s="4"/>
      <c r="AA595" s="4"/>
      <c r="AB595" s="4"/>
      <c r="AC595" s="4"/>
      <c r="AD595" s="4"/>
      <c r="AE595" s="25"/>
      <c r="AF595" s="4"/>
      <c r="AG595" s="4"/>
      <c r="AH595" s="4"/>
      <c r="AI595" s="4"/>
      <c r="AM595" s="26"/>
      <c r="AN595" s="26"/>
      <c r="AO595" s="26"/>
      <c r="AP595" s="26"/>
    </row>
    <row r="596" spans="1:42" ht="12.75" customHeight="1" x14ac:dyDescent="0.2">
      <c r="A596" s="5"/>
      <c r="B596" s="5"/>
      <c r="C596" s="5"/>
      <c r="E596" s="5"/>
      <c r="F596" s="5"/>
      <c r="N596" s="5"/>
      <c r="O596" s="5"/>
      <c r="X596" s="4"/>
      <c r="Y596" s="4"/>
      <c r="Z596" s="4"/>
      <c r="AA596" s="4"/>
      <c r="AB596" s="4"/>
      <c r="AC596" s="4"/>
      <c r="AD596" s="4"/>
      <c r="AE596" s="25"/>
      <c r="AF596" s="4"/>
      <c r="AG596" s="4"/>
      <c r="AH596" s="4"/>
      <c r="AI596" s="4"/>
      <c r="AM596" s="26"/>
      <c r="AN596" s="26"/>
      <c r="AO596" s="26"/>
      <c r="AP596" s="26"/>
    </row>
    <row r="597" spans="1:42" ht="12.75" customHeight="1" x14ac:dyDescent="0.2">
      <c r="A597" s="5"/>
      <c r="B597" s="5"/>
      <c r="C597" s="5"/>
      <c r="E597" s="5"/>
      <c r="F597" s="5"/>
      <c r="N597" s="5"/>
      <c r="O597" s="5"/>
      <c r="X597" s="4"/>
      <c r="Y597" s="4"/>
      <c r="Z597" s="4"/>
      <c r="AA597" s="4"/>
      <c r="AB597" s="4"/>
      <c r="AC597" s="4"/>
      <c r="AD597" s="4"/>
      <c r="AE597" s="25"/>
      <c r="AF597" s="4"/>
      <c r="AG597" s="4"/>
      <c r="AH597" s="4"/>
      <c r="AI597" s="4"/>
      <c r="AM597" s="26"/>
      <c r="AN597" s="26"/>
      <c r="AO597" s="26"/>
      <c r="AP597" s="26"/>
    </row>
    <row r="598" spans="1:42" ht="12.75" customHeight="1" x14ac:dyDescent="0.2">
      <c r="A598" s="5"/>
      <c r="B598" s="5"/>
      <c r="C598" s="5"/>
      <c r="E598" s="5"/>
      <c r="F598" s="5"/>
      <c r="N598" s="5"/>
      <c r="O598" s="5"/>
      <c r="X598" s="4"/>
      <c r="Y598" s="4"/>
      <c r="Z598" s="4"/>
      <c r="AA598" s="4"/>
      <c r="AB598" s="4"/>
      <c r="AC598" s="4"/>
      <c r="AD598" s="4"/>
      <c r="AE598" s="25"/>
      <c r="AF598" s="4"/>
      <c r="AG598" s="4"/>
      <c r="AH598" s="4"/>
      <c r="AI598" s="4"/>
      <c r="AM598" s="26"/>
      <c r="AN598" s="26"/>
      <c r="AO598" s="26"/>
      <c r="AP598" s="26"/>
    </row>
    <row r="599" spans="1:42" ht="12.75" customHeight="1" x14ac:dyDescent="0.2">
      <c r="A599" s="5"/>
      <c r="B599" s="5"/>
      <c r="C599" s="5"/>
      <c r="E599" s="5"/>
      <c r="F599" s="5"/>
      <c r="N599" s="5"/>
      <c r="O599" s="5"/>
      <c r="X599" s="4"/>
      <c r="Y599" s="4"/>
      <c r="Z599" s="4"/>
      <c r="AA599" s="4"/>
      <c r="AB599" s="4"/>
      <c r="AC599" s="4"/>
      <c r="AD599" s="4"/>
      <c r="AE599" s="25"/>
      <c r="AF599" s="4"/>
      <c r="AG599" s="4"/>
      <c r="AH599" s="4"/>
      <c r="AI599" s="4"/>
      <c r="AM599" s="26"/>
      <c r="AN599" s="26"/>
      <c r="AO599" s="26"/>
      <c r="AP599" s="26"/>
    </row>
    <row r="600" spans="1:42" ht="12.75" customHeight="1" x14ac:dyDescent="0.2">
      <c r="A600" s="5"/>
      <c r="B600" s="5"/>
      <c r="C600" s="5"/>
      <c r="E600" s="5"/>
      <c r="F600" s="5"/>
      <c r="N600" s="5"/>
      <c r="O600" s="5"/>
      <c r="X600" s="4"/>
      <c r="Y600" s="4"/>
      <c r="Z600" s="4"/>
      <c r="AA600" s="4"/>
      <c r="AB600" s="4"/>
      <c r="AC600" s="4"/>
      <c r="AD600" s="4"/>
      <c r="AE600" s="25"/>
      <c r="AF600" s="4"/>
      <c r="AG600" s="4"/>
      <c r="AH600" s="4"/>
      <c r="AI600" s="4"/>
      <c r="AM600" s="26"/>
      <c r="AN600" s="26"/>
      <c r="AO600" s="26"/>
      <c r="AP600" s="26"/>
    </row>
    <row r="601" spans="1:42" ht="12.75" customHeight="1" x14ac:dyDescent="0.2">
      <c r="A601" s="5"/>
      <c r="B601" s="5"/>
      <c r="C601" s="5"/>
      <c r="E601" s="5"/>
      <c r="F601" s="5"/>
      <c r="N601" s="5"/>
      <c r="O601" s="5"/>
      <c r="X601" s="4"/>
      <c r="Y601" s="4"/>
      <c r="Z601" s="4"/>
      <c r="AA601" s="4"/>
      <c r="AB601" s="4"/>
      <c r="AC601" s="4"/>
      <c r="AD601" s="4"/>
      <c r="AE601" s="25"/>
      <c r="AF601" s="4"/>
      <c r="AG601" s="4"/>
      <c r="AH601" s="4"/>
      <c r="AI601" s="4"/>
      <c r="AM601" s="26"/>
      <c r="AN601" s="26"/>
      <c r="AO601" s="26"/>
      <c r="AP601" s="26"/>
    </row>
    <row r="602" spans="1:42" ht="12.75" customHeight="1" x14ac:dyDescent="0.2">
      <c r="A602" s="5"/>
      <c r="B602" s="5"/>
      <c r="C602" s="5"/>
      <c r="E602" s="5"/>
      <c r="F602" s="5"/>
      <c r="N602" s="5"/>
      <c r="O602" s="5"/>
      <c r="X602" s="4"/>
      <c r="Y602" s="4"/>
      <c r="Z602" s="4"/>
      <c r="AA602" s="4"/>
      <c r="AB602" s="4"/>
      <c r="AC602" s="4"/>
      <c r="AD602" s="4"/>
      <c r="AE602" s="25"/>
      <c r="AF602" s="4"/>
      <c r="AG602" s="4"/>
      <c r="AH602" s="4"/>
      <c r="AI602" s="4"/>
      <c r="AM602" s="26"/>
      <c r="AN602" s="26"/>
      <c r="AO602" s="26"/>
      <c r="AP602" s="26"/>
    </row>
    <row r="603" spans="1:42" ht="12.75" customHeight="1" x14ac:dyDescent="0.2">
      <c r="A603" s="5"/>
      <c r="B603" s="5"/>
      <c r="C603" s="5"/>
      <c r="E603" s="5"/>
      <c r="F603" s="5"/>
      <c r="N603" s="5"/>
      <c r="O603" s="5"/>
      <c r="X603" s="4"/>
      <c r="Y603" s="4"/>
      <c r="Z603" s="4"/>
      <c r="AA603" s="4"/>
      <c r="AB603" s="4"/>
      <c r="AC603" s="4"/>
      <c r="AD603" s="4"/>
      <c r="AE603" s="25"/>
      <c r="AF603" s="4"/>
      <c r="AG603" s="4"/>
      <c r="AH603" s="4"/>
      <c r="AI603" s="4"/>
      <c r="AM603" s="26"/>
      <c r="AN603" s="26"/>
      <c r="AO603" s="26"/>
      <c r="AP603" s="26"/>
    </row>
    <row r="604" spans="1:42" ht="12.75" customHeight="1" x14ac:dyDescent="0.2">
      <c r="A604" s="5"/>
      <c r="B604" s="5"/>
      <c r="C604" s="5"/>
      <c r="E604" s="5"/>
      <c r="F604" s="5"/>
      <c r="N604" s="5"/>
      <c r="O604" s="5"/>
      <c r="X604" s="4"/>
      <c r="Y604" s="4"/>
      <c r="Z604" s="4"/>
      <c r="AA604" s="4"/>
      <c r="AB604" s="4"/>
      <c r="AC604" s="4"/>
      <c r="AD604" s="4"/>
      <c r="AE604" s="25"/>
      <c r="AF604" s="4"/>
      <c r="AG604" s="4"/>
      <c r="AH604" s="4"/>
      <c r="AI604" s="4"/>
      <c r="AM604" s="26"/>
      <c r="AN604" s="26"/>
      <c r="AO604" s="26"/>
      <c r="AP604" s="26"/>
    </row>
    <row r="605" spans="1:42" ht="12.75" customHeight="1" x14ac:dyDescent="0.2">
      <c r="A605" s="5"/>
      <c r="B605" s="5"/>
      <c r="C605" s="5"/>
      <c r="E605" s="5"/>
      <c r="F605" s="5"/>
      <c r="N605" s="5"/>
      <c r="O605" s="5"/>
      <c r="X605" s="4"/>
      <c r="Y605" s="4"/>
      <c r="Z605" s="4"/>
      <c r="AA605" s="4"/>
      <c r="AB605" s="4"/>
      <c r="AC605" s="4"/>
      <c r="AD605" s="4"/>
      <c r="AE605" s="25"/>
      <c r="AF605" s="4"/>
      <c r="AG605" s="4"/>
      <c r="AH605" s="4"/>
      <c r="AI605" s="4"/>
      <c r="AM605" s="26"/>
      <c r="AN605" s="26"/>
      <c r="AO605" s="26"/>
      <c r="AP605" s="26"/>
    </row>
    <row r="606" spans="1:42" ht="12.75" customHeight="1" x14ac:dyDescent="0.2">
      <c r="A606" s="5"/>
      <c r="B606" s="5"/>
      <c r="C606" s="5"/>
      <c r="E606" s="5"/>
      <c r="F606" s="5"/>
      <c r="N606" s="5"/>
      <c r="O606" s="5"/>
      <c r="X606" s="4"/>
      <c r="Y606" s="4"/>
      <c r="Z606" s="4"/>
      <c r="AA606" s="4"/>
      <c r="AB606" s="4"/>
      <c r="AC606" s="4"/>
      <c r="AD606" s="4"/>
      <c r="AE606" s="25"/>
      <c r="AF606" s="4"/>
      <c r="AG606" s="4"/>
      <c r="AH606" s="4"/>
      <c r="AI606" s="4"/>
      <c r="AM606" s="26"/>
      <c r="AN606" s="26"/>
      <c r="AO606" s="26"/>
      <c r="AP606" s="26"/>
    </row>
    <row r="607" spans="1:42" ht="12.75" customHeight="1" x14ac:dyDescent="0.2">
      <c r="A607" s="5"/>
      <c r="B607" s="5"/>
      <c r="C607" s="5"/>
      <c r="E607" s="5"/>
      <c r="F607" s="5"/>
      <c r="N607" s="5"/>
      <c r="O607" s="5"/>
      <c r="X607" s="4"/>
      <c r="Y607" s="4"/>
      <c r="Z607" s="4"/>
      <c r="AA607" s="4"/>
      <c r="AB607" s="4"/>
      <c r="AC607" s="4"/>
      <c r="AD607" s="4"/>
      <c r="AE607" s="25"/>
      <c r="AF607" s="4"/>
      <c r="AG607" s="4"/>
      <c r="AH607" s="4"/>
      <c r="AI607" s="4"/>
      <c r="AM607" s="26"/>
      <c r="AN607" s="26"/>
      <c r="AO607" s="26"/>
      <c r="AP607" s="26"/>
    </row>
    <row r="608" spans="1:42" ht="12.75" customHeight="1" x14ac:dyDescent="0.2">
      <c r="A608" s="5"/>
      <c r="B608" s="5"/>
      <c r="C608" s="5"/>
      <c r="E608" s="5"/>
      <c r="F608" s="5"/>
      <c r="N608" s="5"/>
      <c r="O608" s="5"/>
      <c r="X608" s="4"/>
      <c r="Y608" s="4"/>
      <c r="Z608" s="4"/>
      <c r="AA608" s="4"/>
      <c r="AB608" s="4"/>
      <c r="AC608" s="4"/>
      <c r="AD608" s="4"/>
      <c r="AE608" s="25"/>
      <c r="AF608" s="4"/>
      <c r="AG608" s="4"/>
      <c r="AH608" s="4"/>
      <c r="AI608" s="4"/>
      <c r="AM608" s="26"/>
      <c r="AN608" s="26"/>
      <c r="AO608" s="26"/>
      <c r="AP608" s="26"/>
    </row>
    <row r="609" spans="1:42" ht="12.75" customHeight="1" x14ac:dyDescent="0.2">
      <c r="A609" s="5"/>
      <c r="B609" s="5"/>
      <c r="C609" s="5"/>
      <c r="E609" s="5"/>
      <c r="F609" s="5"/>
      <c r="N609" s="5"/>
      <c r="O609" s="5"/>
      <c r="X609" s="4"/>
      <c r="Y609" s="4"/>
      <c r="Z609" s="4"/>
      <c r="AA609" s="4"/>
      <c r="AB609" s="4"/>
      <c r="AC609" s="4"/>
      <c r="AD609" s="4"/>
      <c r="AE609" s="25"/>
      <c r="AF609" s="4"/>
      <c r="AG609" s="4"/>
      <c r="AH609" s="4"/>
      <c r="AI609" s="4"/>
      <c r="AM609" s="26"/>
      <c r="AN609" s="26"/>
      <c r="AO609" s="26"/>
      <c r="AP609" s="26"/>
    </row>
    <row r="610" spans="1:42" ht="12.75" customHeight="1" x14ac:dyDescent="0.2">
      <c r="A610" s="5"/>
      <c r="B610" s="5"/>
      <c r="C610" s="5"/>
      <c r="E610" s="5"/>
      <c r="F610" s="5"/>
      <c r="N610" s="5"/>
      <c r="O610" s="5"/>
      <c r="X610" s="4"/>
      <c r="Y610" s="4"/>
      <c r="Z610" s="4"/>
      <c r="AA610" s="4"/>
      <c r="AB610" s="4"/>
      <c r="AC610" s="4"/>
      <c r="AD610" s="4"/>
      <c r="AE610" s="25"/>
      <c r="AF610" s="4"/>
      <c r="AG610" s="4"/>
      <c r="AH610" s="4"/>
      <c r="AI610" s="4"/>
      <c r="AM610" s="26"/>
      <c r="AN610" s="26"/>
      <c r="AO610" s="26"/>
      <c r="AP610" s="26"/>
    </row>
    <row r="611" spans="1:42" ht="12.75" customHeight="1" x14ac:dyDescent="0.2">
      <c r="A611" s="5"/>
      <c r="B611" s="5"/>
      <c r="C611" s="5"/>
      <c r="E611" s="5"/>
      <c r="F611" s="5"/>
      <c r="N611" s="5"/>
      <c r="O611" s="5"/>
      <c r="X611" s="4"/>
      <c r="Y611" s="4"/>
      <c r="Z611" s="4"/>
      <c r="AA611" s="4"/>
      <c r="AB611" s="4"/>
      <c r="AC611" s="4"/>
      <c r="AD611" s="4"/>
      <c r="AE611" s="25"/>
      <c r="AF611" s="4"/>
      <c r="AG611" s="4"/>
      <c r="AH611" s="4"/>
      <c r="AI611" s="4"/>
      <c r="AM611" s="26"/>
      <c r="AN611" s="26"/>
      <c r="AO611" s="26"/>
      <c r="AP611" s="26"/>
    </row>
    <row r="612" spans="1:42" ht="12.75" customHeight="1" x14ac:dyDescent="0.2">
      <c r="A612" s="5"/>
      <c r="B612" s="5"/>
      <c r="C612" s="5"/>
      <c r="E612" s="5"/>
      <c r="F612" s="5"/>
      <c r="N612" s="5"/>
      <c r="O612" s="5"/>
      <c r="X612" s="4"/>
      <c r="Y612" s="4"/>
      <c r="Z612" s="4"/>
      <c r="AA612" s="4"/>
      <c r="AB612" s="4"/>
      <c r="AC612" s="4"/>
      <c r="AD612" s="4"/>
      <c r="AE612" s="25"/>
      <c r="AF612" s="4"/>
      <c r="AG612" s="4"/>
      <c r="AH612" s="4"/>
      <c r="AI612" s="4"/>
      <c r="AM612" s="26"/>
      <c r="AN612" s="26"/>
      <c r="AO612" s="26"/>
      <c r="AP612" s="26"/>
    </row>
    <row r="613" spans="1:42" ht="12.75" customHeight="1" x14ac:dyDescent="0.2">
      <c r="A613" s="5"/>
      <c r="B613" s="5"/>
      <c r="C613" s="5"/>
      <c r="E613" s="5"/>
      <c r="F613" s="5"/>
      <c r="N613" s="5"/>
      <c r="O613" s="5"/>
      <c r="X613" s="4"/>
      <c r="Y613" s="4"/>
      <c r="Z613" s="4"/>
      <c r="AA613" s="4"/>
      <c r="AB613" s="4"/>
      <c r="AC613" s="4"/>
      <c r="AD613" s="4"/>
      <c r="AE613" s="25"/>
      <c r="AF613" s="4"/>
      <c r="AG613" s="4"/>
      <c r="AH613" s="4"/>
      <c r="AI613" s="4"/>
      <c r="AM613" s="26"/>
      <c r="AN613" s="26"/>
      <c r="AO613" s="26"/>
      <c r="AP613" s="26"/>
    </row>
    <row r="614" spans="1:42" ht="12.75" customHeight="1" x14ac:dyDescent="0.2">
      <c r="A614" s="5"/>
      <c r="B614" s="5"/>
      <c r="C614" s="5"/>
      <c r="E614" s="5"/>
      <c r="F614" s="5"/>
      <c r="N614" s="5"/>
      <c r="O614" s="5"/>
      <c r="X614" s="4"/>
      <c r="Y614" s="4"/>
      <c r="Z614" s="4"/>
      <c r="AA614" s="4"/>
      <c r="AB614" s="4"/>
      <c r="AC614" s="4"/>
      <c r="AD614" s="4"/>
      <c r="AE614" s="25"/>
      <c r="AF614" s="4"/>
      <c r="AG614" s="4"/>
      <c r="AH614" s="4"/>
      <c r="AI614" s="4"/>
      <c r="AM614" s="26"/>
      <c r="AN614" s="26"/>
      <c r="AO614" s="26"/>
      <c r="AP614" s="26"/>
    </row>
    <row r="615" spans="1:42" ht="12.75" customHeight="1" x14ac:dyDescent="0.2">
      <c r="A615" s="5"/>
      <c r="B615" s="5"/>
      <c r="C615" s="5"/>
      <c r="E615" s="5"/>
      <c r="F615" s="5"/>
      <c r="N615" s="5"/>
      <c r="O615" s="5"/>
      <c r="X615" s="4"/>
      <c r="Y615" s="4"/>
      <c r="Z615" s="4"/>
      <c r="AA615" s="4"/>
      <c r="AB615" s="4"/>
      <c r="AC615" s="4"/>
      <c r="AD615" s="4"/>
      <c r="AE615" s="25"/>
      <c r="AF615" s="4"/>
      <c r="AG615" s="4"/>
      <c r="AH615" s="4"/>
      <c r="AI615" s="4"/>
      <c r="AM615" s="26"/>
      <c r="AN615" s="26"/>
      <c r="AO615" s="26"/>
      <c r="AP615" s="26"/>
    </row>
    <row r="616" spans="1:42" ht="12.75" customHeight="1" x14ac:dyDescent="0.2">
      <c r="A616" s="5"/>
      <c r="B616" s="5"/>
      <c r="C616" s="5"/>
      <c r="E616" s="5"/>
      <c r="F616" s="5"/>
      <c r="N616" s="5"/>
      <c r="O616" s="5"/>
      <c r="X616" s="4"/>
      <c r="Y616" s="4"/>
      <c r="Z616" s="4"/>
      <c r="AA616" s="4"/>
      <c r="AB616" s="4"/>
      <c r="AC616" s="4"/>
      <c r="AD616" s="4"/>
      <c r="AE616" s="25"/>
      <c r="AF616" s="4"/>
      <c r="AG616" s="4"/>
      <c r="AH616" s="4"/>
      <c r="AI616" s="4"/>
      <c r="AM616" s="26"/>
      <c r="AN616" s="26"/>
      <c r="AO616" s="26"/>
      <c r="AP616" s="26"/>
    </row>
    <row r="617" spans="1:42" ht="12.75" customHeight="1" x14ac:dyDescent="0.2">
      <c r="A617" s="5"/>
      <c r="B617" s="5"/>
      <c r="C617" s="5"/>
      <c r="E617" s="5"/>
      <c r="F617" s="5"/>
      <c r="N617" s="5"/>
      <c r="O617" s="5"/>
      <c r="X617" s="4"/>
      <c r="Y617" s="4"/>
      <c r="Z617" s="4"/>
      <c r="AA617" s="4"/>
      <c r="AB617" s="4"/>
      <c r="AC617" s="4"/>
      <c r="AD617" s="4"/>
      <c r="AE617" s="25"/>
      <c r="AF617" s="4"/>
      <c r="AG617" s="4"/>
      <c r="AH617" s="4"/>
      <c r="AI617" s="4"/>
      <c r="AM617" s="26"/>
      <c r="AN617" s="26"/>
      <c r="AO617" s="26"/>
      <c r="AP617" s="26"/>
    </row>
    <row r="618" spans="1:42" ht="12.75" customHeight="1" x14ac:dyDescent="0.2">
      <c r="A618" s="5"/>
      <c r="B618" s="5"/>
      <c r="C618" s="5"/>
      <c r="E618" s="5"/>
      <c r="F618" s="5"/>
      <c r="N618" s="5"/>
      <c r="O618" s="5"/>
      <c r="X618" s="4"/>
      <c r="Y618" s="4"/>
      <c r="Z618" s="4"/>
      <c r="AA618" s="4"/>
      <c r="AB618" s="4"/>
      <c r="AC618" s="4"/>
      <c r="AD618" s="4"/>
      <c r="AE618" s="25"/>
      <c r="AF618" s="4"/>
      <c r="AG618" s="4"/>
      <c r="AH618" s="4"/>
      <c r="AI618" s="4"/>
      <c r="AM618" s="26"/>
      <c r="AN618" s="26"/>
      <c r="AO618" s="26"/>
      <c r="AP618" s="26"/>
    </row>
    <row r="619" spans="1:42" ht="12.75" customHeight="1" x14ac:dyDescent="0.2">
      <c r="A619" s="5"/>
      <c r="B619" s="5"/>
      <c r="C619" s="5"/>
      <c r="E619" s="5"/>
      <c r="F619" s="5"/>
      <c r="N619" s="5"/>
      <c r="O619" s="5"/>
      <c r="X619" s="4"/>
      <c r="Y619" s="4"/>
      <c r="Z619" s="4"/>
      <c r="AA619" s="4"/>
      <c r="AB619" s="4"/>
      <c r="AC619" s="4"/>
      <c r="AD619" s="4"/>
      <c r="AE619" s="25"/>
      <c r="AF619" s="4"/>
      <c r="AG619" s="4"/>
      <c r="AH619" s="4"/>
      <c r="AI619" s="4"/>
      <c r="AM619" s="26"/>
      <c r="AN619" s="26"/>
      <c r="AO619" s="26"/>
      <c r="AP619" s="26"/>
    </row>
    <row r="620" spans="1:42" ht="12.75" customHeight="1" x14ac:dyDescent="0.2">
      <c r="A620" s="5"/>
      <c r="B620" s="5"/>
      <c r="C620" s="5"/>
      <c r="E620" s="5"/>
      <c r="F620" s="5"/>
      <c r="N620" s="5"/>
      <c r="O620" s="5"/>
      <c r="X620" s="4"/>
      <c r="Y620" s="4"/>
      <c r="Z620" s="4"/>
      <c r="AA620" s="4"/>
      <c r="AB620" s="4"/>
      <c r="AC620" s="4"/>
      <c r="AD620" s="4"/>
      <c r="AE620" s="25"/>
      <c r="AF620" s="4"/>
      <c r="AG620" s="4"/>
      <c r="AH620" s="4"/>
      <c r="AI620" s="4"/>
      <c r="AM620" s="26"/>
      <c r="AN620" s="26"/>
      <c r="AO620" s="26"/>
      <c r="AP620" s="26"/>
    </row>
    <row r="621" spans="1:42" ht="12.75" customHeight="1" x14ac:dyDescent="0.2">
      <c r="A621" s="5"/>
      <c r="B621" s="5"/>
      <c r="C621" s="5"/>
      <c r="E621" s="5"/>
      <c r="F621" s="5"/>
      <c r="N621" s="5"/>
      <c r="O621" s="5"/>
      <c r="X621" s="4"/>
      <c r="Y621" s="4"/>
      <c r="Z621" s="4"/>
      <c r="AA621" s="4"/>
      <c r="AB621" s="4"/>
      <c r="AC621" s="4"/>
      <c r="AD621" s="4"/>
      <c r="AE621" s="25"/>
      <c r="AF621" s="4"/>
      <c r="AG621" s="4"/>
      <c r="AH621" s="4"/>
      <c r="AI621" s="4"/>
      <c r="AM621" s="26"/>
      <c r="AN621" s="26"/>
      <c r="AO621" s="26"/>
      <c r="AP621" s="26"/>
    </row>
    <row r="622" spans="1:42" ht="12.75" customHeight="1" x14ac:dyDescent="0.2">
      <c r="A622" s="5"/>
      <c r="B622" s="5"/>
      <c r="C622" s="5"/>
      <c r="E622" s="5"/>
      <c r="F622" s="5"/>
      <c r="N622" s="5"/>
      <c r="O622" s="5"/>
      <c r="X622" s="4"/>
      <c r="Y622" s="4"/>
      <c r="Z622" s="4"/>
      <c r="AA622" s="4"/>
      <c r="AB622" s="4"/>
      <c r="AC622" s="4"/>
      <c r="AD622" s="4"/>
      <c r="AE622" s="25"/>
      <c r="AF622" s="4"/>
      <c r="AG622" s="4"/>
      <c r="AH622" s="4"/>
      <c r="AI622" s="4"/>
      <c r="AM622" s="26"/>
      <c r="AN622" s="26"/>
      <c r="AO622" s="26"/>
      <c r="AP622" s="26"/>
    </row>
    <row r="623" spans="1:42" ht="12.75" customHeight="1" x14ac:dyDescent="0.2">
      <c r="A623" s="5"/>
      <c r="B623" s="5"/>
      <c r="C623" s="5"/>
      <c r="E623" s="5"/>
      <c r="F623" s="5"/>
      <c r="N623" s="5"/>
      <c r="O623" s="5"/>
      <c r="X623" s="4"/>
      <c r="Y623" s="4"/>
      <c r="Z623" s="4"/>
      <c r="AA623" s="4"/>
      <c r="AB623" s="4"/>
      <c r="AC623" s="4"/>
      <c r="AD623" s="4"/>
      <c r="AE623" s="25"/>
      <c r="AF623" s="4"/>
      <c r="AG623" s="4"/>
      <c r="AH623" s="4"/>
      <c r="AI623" s="4"/>
      <c r="AM623" s="26"/>
      <c r="AN623" s="26"/>
      <c r="AO623" s="26"/>
      <c r="AP623" s="26"/>
    </row>
    <row r="624" spans="1:42" ht="12.75" customHeight="1" x14ac:dyDescent="0.2">
      <c r="A624" s="5"/>
      <c r="B624" s="5"/>
      <c r="C624" s="5"/>
      <c r="E624" s="5"/>
      <c r="F624" s="5"/>
      <c r="N624" s="5"/>
      <c r="O624" s="5"/>
      <c r="X624" s="4"/>
      <c r="Y624" s="4"/>
      <c r="Z624" s="4"/>
      <c r="AA624" s="4"/>
      <c r="AB624" s="4"/>
      <c r="AC624" s="4"/>
      <c r="AD624" s="4"/>
      <c r="AE624" s="25"/>
      <c r="AF624" s="4"/>
      <c r="AG624" s="4"/>
      <c r="AH624" s="4"/>
      <c r="AI624" s="4"/>
      <c r="AM624" s="26"/>
      <c r="AN624" s="26"/>
      <c r="AO624" s="26"/>
      <c r="AP624" s="26"/>
    </row>
    <row r="625" spans="1:42" ht="12.75" customHeight="1" x14ac:dyDescent="0.2">
      <c r="A625" s="5"/>
      <c r="B625" s="5"/>
      <c r="C625" s="5"/>
      <c r="E625" s="5"/>
      <c r="F625" s="5"/>
      <c r="N625" s="5"/>
      <c r="O625" s="5"/>
      <c r="X625" s="4"/>
      <c r="Y625" s="4"/>
      <c r="Z625" s="4"/>
      <c r="AA625" s="4"/>
      <c r="AB625" s="4"/>
      <c r="AC625" s="4"/>
      <c r="AD625" s="4"/>
      <c r="AE625" s="25"/>
      <c r="AF625" s="4"/>
      <c r="AG625" s="4"/>
      <c r="AH625" s="4"/>
      <c r="AI625" s="4"/>
      <c r="AM625" s="26"/>
      <c r="AN625" s="26"/>
      <c r="AO625" s="26"/>
      <c r="AP625" s="26"/>
    </row>
    <row r="626" spans="1:42" ht="12.75" customHeight="1" x14ac:dyDescent="0.2">
      <c r="A626" s="5"/>
      <c r="B626" s="5"/>
      <c r="C626" s="5"/>
      <c r="E626" s="5"/>
      <c r="F626" s="5"/>
      <c r="N626" s="5"/>
      <c r="O626" s="5"/>
      <c r="X626" s="4"/>
      <c r="Y626" s="4"/>
      <c r="Z626" s="4"/>
      <c r="AA626" s="4"/>
      <c r="AB626" s="4"/>
      <c r="AC626" s="4"/>
      <c r="AD626" s="4"/>
      <c r="AE626" s="25"/>
      <c r="AF626" s="4"/>
      <c r="AG626" s="4"/>
      <c r="AH626" s="4"/>
      <c r="AI626" s="4"/>
      <c r="AM626" s="26"/>
      <c r="AN626" s="26"/>
      <c r="AO626" s="26"/>
      <c r="AP626" s="26"/>
    </row>
    <row r="627" spans="1:42" ht="12.75" customHeight="1" x14ac:dyDescent="0.2">
      <c r="A627" s="5"/>
      <c r="B627" s="5"/>
      <c r="C627" s="5"/>
      <c r="E627" s="5"/>
      <c r="F627" s="5"/>
      <c r="N627" s="5"/>
      <c r="O627" s="5"/>
      <c r="X627" s="4"/>
      <c r="Y627" s="4"/>
      <c r="Z627" s="4"/>
      <c r="AA627" s="4"/>
      <c r="AB627" s="4"/>
      <c r="AC627" s="4"/>
      <c r="AD627" s="4"/>
      <c r="AE627" s="25"/>
      <c r="AF627" s="4"/>
      <c r="AG627" s="4"/>
      <c r="AH627" s="4"/>
      <c r="AI627" s="4"/>
      <c r="AM627" s="26"/>
      <c r="AN627" s="26"/>
      <c r="AO627" s="26"/>
      <c r="AP627" s="26"/>
    </row>
    <row r="628" spans="1:42" ht="12.75" customHeight="1" x14ac:dyDescent="0.2">
      <c r="A628" s="5"/>
      <c r="B628" s="5"/>
      <c r="C628" s="5"/>
      <c r="E628" s="5"/>
      <c r="F628" s="5"/>
      <c r="N628" s="5"/>
      <c r="O628" s="5"/>
      <c r="X628" s="4"/>
      <c r="Y628" s="4"/>
      <c r="Z628" s="4"/>
      <c r="AA628" s="4"/>
      <c r="AB628" s="4"/>
      <c r="AC628" s="4"/>
      <c r="AD628" s="4"/>
      <c r="AE628" s="25"/>
      <c r="AF628" s="4"/>
      <c r="AG628" s="4"/>
      <c r="AH628" s="4"/>
      <c r="AI628" s="4"/>
      <c r="AM628" s="26"/>
      <c r="AN628" s="26"/>
      <c r="AO628" s="26"/>
      <c r="AP628" s="26"/>
    </row>
    <row r="629" spans="1:42" ht="12.75" customHeight="1" x14ac:dyDescent="0.2">
      <c r="A629" s="5"/>
      <c r="B629" s="5"/>
      <c r="C629" s="5"/>
      <c r="E629" s="5"/>
      <c r="F629" s="5"/>
      <c r="N629" s="5"/>
      <c r="O629" s="5"/>
      <c r="X629" s="4"/>
      <c r="Y629" s="4"/>
      <c r="Z629" s="4"/>
      <c r="AA629" s="4"/>
      <c r="AB629" s="4"/>
      <c r="AC629" s="4"/>
      <c r="AD629" s="4"/>
      <c r="AE629" s="25"/>
      <c r="AF629" s="4"/>
      <c r="AG629" s="4"/>
      <c r="AH629" s="4"/>
      <c r="AI629" s="4"/>
      <c r="AM629" s="26"/>
      <c r="AN629" s="26"/>
      <c r="AO629" s="26"/>
      <c r="AP629" s="26"/>
    </row>
    <row r="630" spans="1:42" ht="12.75" customHeight="1" x14ac:dyDescent="0.2">
      <c r="A630" s="5"/>
      <c r="B630" s="5"/>
      <c r="C630" s="5"/>
      <c r="E630" s="5"/>
      <c r="F630" s="5"/>
      <c r="N630" s="5"/>
      <c r="O630" s="5"/>
      <c r="X630" s="4"/>
      <c r="Y630" s="4"/>
      <c r="Z630" s="4"/>
      <c r="AA630" s="4"/>
      <c r="AB630" s="4"/>
      <c r="AC630" s="4"/>
      <c r="AD630" s="4"/>
      <c r="AE630" s="25"/>
      <c r="AF630" s="4"/>
      <c r="AG630" s="4"/>
      <c r="AH630" s="4"/>
      <c r="AI630" s="4"/>
      <c r="AM630" s="26"/>
      <c r="AN630" s="26"/>
      <c r="AO630" s="26"/>
      <c r="AP630" s="26"/>
    </row>
    <row r="631" spans="1:42" ht="12.75" customHeight="1" x14ac:dyDescent="0.2">
      <c r="A631" s="5"/>
      <c r="B631" s="5"/>
      <c r="C631" s="5"/>
      <c r="E631" s="5"/>
      <c r="F631" s="5"/>
      <c r="N631" s="5"/>
      <c r="O631" s="5"/>
      <c r="X631" s="4"/>
      <c r="Y631" s="4"/>
      <c r="Z631" s="4"/>
      <c r="AA631" s="4"/>
      <c r="AB631" s="4"/>
      <c r="AC631" s="4"/>
      <c r="AD631" s="4"/>
      <c r="AE631" s="25"/>
      <c r="AF631" s="4"/>
      <c r="AG631" s="4"/>
      <c r="AH631" s="4"/>
      <c r="AI631" s="4"/>
      <c r="AM631" s="26"/>
      <c r="AN631" s="26"/>
      <c r="AO631" s="26"/>
      <c r="AP631" s="26"/>
    </row>
    <row r="632" spans="1:42" ht="12.75" customHeight="1" x14ac:dyDescent="0.2">
      <c r="A632" s="5"/>
      <c r="B632" s="5"/>
      <c r="C632" s="5"/>
      <c r="E632" s="5"/>
      <c r="F632" s="5"/>
      <c r="N632" s="5"/>
      <c r="O632" s="5"/>
      <c r="X632" s="4"/>
      <c r="Y632" s="4"/>
      <c r="Z632" s="4"/>
      <c r="AA632" s="4"/>
      <c r="AB632" s="4"/>
      <c r="AC632" s="4"/>
      <c r="AD632" s="4"/>
      <c r="AE632" s="25"/>
      <c r="AF632" s="4"/>
      <c r="AG632" s="4"/>
      <c r="AH632" s="4"/>
      <c r="AI632" s="4"/>
      <c r="AM632" s="26"/>
      <c r="AN632" s="26"/>
      <c r="AO632" s="26"/>
      <c r="AP632" s="26"/>
    </row>
    <row r="633" spans="1:42" ht="12.75" customHeight="1" x14ac:dyDescent="0.2">
      <c r="A633" s="5"/>
      <c r="B633" s="5"/>
      <c r="C633" s="5"/>
      <c r="E633" s="5"/>
      <c r="F633" s="5"/>
      <c r="N633" s="5"/>
      <c r="O633" s="5"/>
      <c r="X633" s="4"/>
      <c r="Y633" s="4"/>
      <c r="Z633" s="4"/>
      <c r="AA633" s="4"/>
      <c r="AB633" s="4"/>
      <c r="AC633" s="4"/>
      <c r="AD633" s="4"/>
      <c r="AE633" s="25"/>
      <c r="AF633" s="4"/>
      <c r="AG633" s="4"/>
      <c r="AH633" s="4"/>
      <c r="AI633" s="4"/>
      <c r="AM633" s="26"/>
      <c r="AN633" s="26"/>
      <c r="AO633" s="26"/>
      <c r="AP633" s="26"/>
    </row>
    <row r="634" spans="1:42" ht="12.75" customHeight="1" x14ac:dyDescent="0.2">
      <c r="A634" s="5"/>
      <c r="B634" s="5"/>
      <c r="C634" s="5"/>
      <c r="E634" s="5"/>
      <c r="F634" s="5"/>
      <c r="N634" s="5"/>
      <c r="O634" s="5"/>
      <c r="X634" s="4"/>
      <c r="Y634" s="4"/>
      <c r="Z634" s="4"/>
      <c r="AA634" s="4"/>
      <c r="AB634" s="4"/>
      <c r="AC634" s="4"/>
      <c r="AD634" s="4"/>
      <c r="AE634" s="25"/>
      <c r="AF634" s="4"/>
      <c r="AG634" s="4"/>
      <c r="AH634" s="4"/>
      <c r="AI634" s="4"/>
      <c r="AM634" s="26"/>
      <c r="AN634" s="26"/>
      <c r="AO634" s="26"/>
      <c r="AP634" s="26"/>
    </row>
    <row r="635" spans="1:42" ht="12.75" customHeight="1" x14ac:dyDescent="0.2">
      <c r="A635" s="5"/>
      <c r="B635" s="5"/>
      <c r="C635" s="5"/>
      <c r="E635" s="5"/>
      <c r="F635" s="5"/>
      <c r="N635" s="5"/>
      <c r="O635" s="5"/>
      <c r="X635" s="4"/>
      <c r="Y635" s="4"/>
      <c r="Z635" s="4"/>
      <c r="AA635" s="4"/>
      <c r="AB635" s="4"/>
      <c r="AC635" s="4"/>
      <c r="AD635" s="4"/>
      <c r="AE635" s="25"/>
      <c r="AF635" s="4"/>
      <c r="AG635" s="4"/>
      <c r="AH635" s="4"/>
      <c r="AI635" s="4"/>
      <c r="AM635" s="26"/>
      <c r="AN635" s="26"/>
      <c r="AO635" s="26"/>
      <c r="AP635" s="26"/>
    </row>
    <row r="636" spans="1:42" ht="12.75" customHeight="1" x14ac:dyDescent="0.2">
      <c r="A636" s="5"/>
      <c r="B636" s="5"/>
      <c r="C636" s="5"/>
      <c r="E636" s="5"/>
      <c r="F636" s="5"/>
      <c r="N636" s="5"/>
      <c r="O636" s="5"/>
      <c r="X636" s="4"/>
      <c r="Y636" s="4"/>
      <c r="Z636" s="4"/>
      <c r="AA636" s="4"/>
      <c r="AB636" s="4"/>
      <c r="AC636" s="4"/>
      <c r="AD636" s="4"/>
      <c r="AE636" s="25"/>
      <c r="AF636" s="4"/>
      <c r="AG636" s="4"/>
      <c r="AH636" s="4"/>
      <c r="AI636" s="4"/>
      <c r="AM636" s="26"/>
      <c r="AN636" s="26"/>
      <c r="AO636" s="26"/>
      <c r="AP636" s="26"/>
    </row>
    <row r="637" spans="1:42" ht="12.75" customHeight="1" x14ac:dyDescent="0.2">
      <c r="A637" s="5"/>
      <c r="B637" s="5"/>
      <c r="C637" s="5"/>
      <c r="E637" s="5"/>
      <c r="F637" s="5"/>
      <c r="N637" s="5"/>
      <c r="O637" s="5"/>
      <c r="X637" s="4"/>
      <c r="Y637" s="4"/>
      <c r="Z637" s="4"/>
      <c r="AA637" s="4"/>
      <c r="AB637" s="4"/>
      <c r="AC637" s="4"/>
      <c r="AD637" s="4"/>
      <c r="AE637" s="25"/>
      <c r="AF637" s="4"/>
      <c r="AG637" s="4"/>
      <c r="AH637" s="4"/>
      <c r="AI637" s="4"/>
      <c r="AM637" s="26"/>
      <c r="AN637" s="26"/>
      <c r="AO637" s="26"/>
      <c r="AP637" s="26"/>
    </row>
    <row r="638" spans="1:42" ht="12.75" customHeight="1" x14ac:dyDescent="0.2">
      <c r="A638" s="5"/>
      <c r="B638" s="5"/>
      <c r="C638" s="5"/>
      <c r="E638" s="5"/>
      <c r="F638" s="5"/>
      <c r="N638" s="5"/>
      <c r="O638" s="5"/>
      <c r="X638" s="4"/>
      <c r="Y638" s="4"/>
      <c r="Z638" s="4"/>
      <c r="AA638" s="4"/>
      <c r="AB638" s="4"/>
      <c r="AC638" s="4"/>
      <c r="AD638" s="4"/>
      <c r="AE638" s="25"/>
      <c r="AF638" s="4"/>
      <c r="AG638" s="4"/>
      <c r="AH638" s="4"/>
      <c r="AI638" s="4"/>
      <c r="AM638" s="26"/>
      <c r="AN638" s="26"/>
      <c r="AO638" s="26"/>
      <c r="AP638" s="26"/>
    </row>
    <row r="639" spans="1:42" ht="12.75" customHeight="1" x14ac:dyDescent="0.2">
      <c r="A639" s="5"/>
      <c r="B639" s="5"/>
      <c r="C639" s="5"/>
      <c r="E639" s="5"/>
      <c r="F639" s="5"/>
      <c r="N639" s="5"/>
      <c r="O639" s="5"/>
      <c r="X639" s="4"/>
      <c r="Y639" s="4"/>
      <c r="Z639" s="4"/>
      <c r="AA639" s="4"/>
      <c r="AB639" s="4"/>
      <c r="AC639" s="4"/>
      <c r="AD639" s="4"/>
      <c r="AE639" s="25"/>
      <c r="AF639" s="4"/>
      <c r="AG639" s="4"/>
      <c r="AH639" s="4"/>
      <c r="AI639" s="4"/>
      <c r="AM639" s="26"/>
      <c r="AN639" s="26"/>
      <c r="AO639" s="26"/>
      <c r="AP639" s="26"/>
    </row>
    <row r="640" spans="1:42" ht="12.75" customHeight="1" x14ac:dyDescent="0.2">
      <c r="A640" s="5"/>
      <c r="B640" s="5"/>
      <c r="C640" s="5"/>
      <c r="E640" s="5"/>
      <c r="F640" s="5"/>
      <c r="N640" s="5"/>
      <c r="O640" s="5"/>
      <c r="X640" s="4"/>
      <c r="Y640" s="4"/>
      <c r="Z640" s="4"/>
      <c r="AA640" s="4"/>
      <c r="AB640" s="4"/>
      <c r="AC640" s="4"/>
      <c r="AD640" s="4"/>
      <c r="AE640" s="25"/>
      <c r="AF640" s="4"/>
      <c r="AG640" s="4"/>
      <c r="AH640" s="4"/>
      <c r="AI640" s="4"/>
      <c r="AM640" s="26"/>
      <c r="AN640" s="26"/>
      <c r="AO640" s="26"/>
      <c r="AP640" s="26"/>
    </row>
    <row r="641" spans="1:42" ht="12.75" customHeight="1" x14ac:dyDescent="0.2">
      <c r="A641" s="5"/>
      <c r="B641" s="5"/>
      <c r="C641" s="5"/>
      <c r="E641" s="5"/>
      <c r="F641" s="5"/>
      <c r="N641" s="5"/>
      <c r="O641" s="5"/>
      <c r="X641" s="4"/>
      <c r="Y641" s="4"/>
      <c r="Z641" s="4"/>
      <c r="AA641" s="4"/>
      <c r="AB641" s="4"/>
      <c r="AC641" s="4"/>
      <c r="AD641" s="4"/>
      <c r="AE641" s="25"/>
      <c r="AF641" s="4"/>
      <c r="AG641" s="4"/>
      <c r="AH641" s="4"/>
      <c r="AI641" s="4"/>
      <c r="AM641" s="26"/>
      <c r="AN641" s="26"/>
      <c r="AO641" s="26"/>
      <c r="AP641" s="26"/>
    </row>
    <row r="642" spans="1:42" ht="12.75" customHeight="1" x14ac:dyDescent="0.2">
      <c r="A642" s="5"/>
      <c r="B642" s="5"/>
      <c r="C642" s="5"/>
      <c r="E642" s="5"/>
      <c r="F642" s="5"/>
      <c r="N642" s="5"/>
      <c r="O642" s="5"/>
      <c r="X642" s="4"/>
      <c r="Y642" s="4"/>
      <c r="Z642" s="4"/>
      <c r="AA642" s="4"/>
      <c r="AB642" s="4"/>
      <c r="AC642" s="4"/>
      <c r="AD642" s="4"/>
      <c r="AE642" s="25"/>
      <c r="AF642" s="4"/>
      <c r="AG642" s="4"/>
      <c r="AH642" s="4"/>
      <c r="AI642" s="4"/>
      <c r="AM642" s="26"/>
      <c r="AN642" s="26"/>
      <c r="AO642" s="26"/>
      <c r="AP642" s="26"/>
    </row>
    <row r="643" spans="1:42" ht="12.75" customHeight="1" x14ac:dyDescent="0.2">
      <c r="A643" s="5"/>
      <c r="B643" s="5"/>
      <c r="C643" s="5"/>
      <c r="E643" s="5"/>
      <c r="F643" s="5"/>
      <c r="N643" s="5"/>
      <c r="O643" s="5"/>
      <c r="X643" s="4"/>
      <c r="Y643" s="4"/>
      <c r="Z643" s="4"/>
      <c r="AA643" s="4"/>
      <c r="AB643" s="4"/>
      <c r="AC643" s="4"/>
      <c r="AD643" s="4"/>
      <c r="AE643" s="25"/>
      <c r="AF643" s="4"/>
      <c r="AG643" s="4"/>
      <c r="AH643" s="4"/>
      <c r="AI643" s="4"/>
      <c r="AM643" s="26"/>
      <c r="AN643" s="26"/>
      <c r="AO643" s="26"/>
      <c r="AP643" s="26"/>
    </row>
    <row r="644" spans="1:42" ht="12.75" customHeight="1" x14ac:dyDescent="0.2">
      <c r="A644" s="5"/>
      <c r="B644" s="5"/>
      <c r="C644" s="5"/>
      <c r="E644" s="5"/>
      <c r="F644" s="5"/>
      <c r="N644" s="5"/>
      <c r="O644" s="5"/>
      <c r="X644" s="4"/>
      <c r="Y644" s="4"/>
      <c r="Z644" s="4"/>
      <c r="AA644" s="4"/>
      <c r="AB644" s="4"/>
      <c r="AC644" s="4"/>
      <c r="AD644" s="4"/>
      <c r="AE644" s="25"/>
      <c r="AF644" s="4"/>
      <c r="AG644" s="4"/>
      <c r="AH644" s="4"/>
      <c r="AI644" s="4"/>
      <c r="AM644" s="26"/>
      <c r="AN644" s="26"/>
      <c r="AO644" s="26"/>
      <c r="AP644" s="26"/>
    </row>
    <row r="645" spans="1:42" ht="12.75" customHeight="1" x14ac:dyDescent="0.2">
      <c r="A645" s="5"/>
      <c r="B645" s="5"/>
      <c r="C645" s="5"/>
      <c r="E645" s="5"/>
      <c r="F645" s="5"/>
      <c r="N645" s="5"/>
      <c r="O645" s="5"/>
      <c r="X645" s="4"/>
      <c r="Y645" s="4"/>
      <c r="Z645" s="4"/>
      <c r="AA645" s="4"/>
      <c r="AB645" s="4"/>
      <c r="AC645" s="4"/>
      <c r="AD645" s="4"/>
      <c r="AE645" s="25"/>
      <c r="AF645" s="4"/>
      <c r="AG645" s="4"/>
      <c r="AH645" s="4"/>
      <c r="AI645" s="4"/>
      <c r="AM645" s="26"/>
      <c r="AN645" s="26"/>
      <c r="AO645" s="26"/>
      <c r="AP645" s="26"/>
    </row>
    <row r="646" spans="1:42" ht="12.75" customHeight="1" x14ac:dyDescent="0.2">
      <c r="A646" s="5"/>
      <c r="B646" s="5"/>
      <c r="C646" s="5"/>
      <c r="E646" s="5"/>
      <c r="F646" s="5"/>
      <c r="N646" s="5"/>
      <c r="O646" s="5"/>
      <c r="X646" s="4"/>
      <c r="Y646" s="4"/>
      <c r="Z646" s="4"/>
      <c r="AA646" s="4"/>
      <c r="AB646" s="4"/>
      <c r="AC646" s="4"/>
      <c r="AD646" s="4"/>
      <c r="AE646" s="25"/>
      <c r="AF646" s="4"/>
      <c r="AG646" s="4"/>
      <c r="AH646" s="4"/>
      <c r="AI646" s="4"/>
      <c r="AM646" s="26"/>
      <c r="AN646" s="26"/>
      <c r="AO646" s="26"/>
      <c r="AP646" s="26"/>
    </row>
    <row r="647" spans="1:42" ht="12.75" customHeight="1" x14ac:dyDescent="0.2">
      <c r="A647" s="5"/>
      <c r="B647" s="5"/>
      <c r="C647" s="5"/>
      <c r="E647" s="5"/>
      <c r="F647" s="5"/>
      <c r="N647" s="5"/>
      <c r="O647" s="5"/>
      <c r="X647" s="4"/>
      <c r="Y647" s="4"/>
      <c r="Z647" s="4"/>
      <c r="AA647" s="4"/>
      <c r="AB647" s="4"/>
      <c r="AC647" s="4"/>
      <c r="AD647" s="4"/>
      <c r="AE647" s="25"/>
      <c r="AF647" s="4"/>
      <c r="AG647" s="4"/>
      <c r="AH647" s="4"/>
      <c r="AI647" s="4"/>
      <c r="AM647" s="26"/>
      <c r="AN647" s="26"/>
      <c r="AO647" s="26"/>
      <c r="AP647" s="26"/>
    </row>
    <row r="648" spans="1:42" ht="12.75" customHeight="1" x14ac:dyDescent="0.2">
      <c r="A648" s="5"/>
      <c r="B648" s="5"/>
      <c r="C648" s="5"/>
      <c r="E648" s="5"/>
      <c r="F648" s="5"/>
      <c r="N648" s="5"/>
      <c r="O648" s="5"/>
      <c r="X648" s="4"/>
      <c r="Y648" s="4"/>
      <c r="Z648" s="4"/>
      <c r="AA648" s="4"/>
      <c r="AB648" s="4"/>
      <c r="AC648" s="4"/>
      <c r="AD648" s="4"/>
      <c r="AE648" s="25"/>
      <c r="AF648" s="4"/>
      <c r="AG648" s="4"/>
      <c r="AH648" s="4"/>
      <c r="AI648" s="4"/>
      <c r="AM648" s="26"/>
      <c r="AN648" s="26"/>
      <c r="AO648" s="26"/>
      <c r="AP648" s="26"/>
    </row>
    <row r="649" spans="1:42" ht="12.75" customHeight="1" x14ac:dyDescent="0.2">
      <c r="A649" s="5"/>
      <c r="B649" s="5"/>
      <c r="C649" s="5"/>
      <c r="E649" s="5"/>
      <c r="F649" s="5"/>
      <c r="N649" s="5"/>
      <c r="O649" s="5"/>
      <c r="X649" s="4"/>
      <c r="Y649" s="4"/>
      <c r="Z649" s="4"/>
      <c r="AA649" s="4"/>
      <c r="AB649" s="4"/>
      <c r="AC649" s="4"/>
      <c r="AD649" s="4"/>
      <c r="AE649" s="25"/>
      <c r="AF649" s="4"/>
      <c r="AG649" s="4"/>
      <c r="AH649" s="4"/>
      <c r="AI649" s="4"/>
      <c r="AM649" s="26"/>
      <c r="AN649" s="26"/>
      <c r="AO649" s="26"/>
      <c r="AP649" s="26"/>
    </row>
    <row r="650" spans="1:42" ht="12.75" customHeight="1" x14ac:dyDescent="0.2">
      <c r="A650" s="5"/>
      <c r="B650" s="5"/>
      <c r="C650" s="5"/>
      <c r="E650" s="5"/>
      <c r="F650" s="5"/>
      <c r="N650" s="5"/>
      <c r="O650" s="5"/>
      <c r="X650" s="4"/>
      <c r="Y650" s="4"/>
      <c r="Z650" s="4"/>
      <c r="AA650" s="4"/>
      <c r="AB650" s="4"/>
      <c r="AC650" s="4"/>
      <c r="AD650" s="4"/>
      <c r="AE650" s="25"/>
      <c r="AF650" s="4"/>
      <c r="AG650" s="4"/>
      <c r="AH650" s="4"/>
      <c r="AI650" s="4"/>
      <c r="AM650" s="26"/>
      <c r="AN650" s="26"/>
      <c r="AO650" s="26"/>
      <c r="AP650" s="26"/>
    </row>
    <row r="651" spans="1:42" ht="12.75" customHeight="1" x14ac:dyDescent="0.2">
      <c r="A651" s="5"/>
      <c r="B651" s="5"/>
      <c r="C651" s="5"/>
      <c r="E651" s="5"/>
      <c r="F651" s="5"/>
      <c r="N651" s="5"/>
      <c r="O651" s="5"/>
      <c r="X651" s="4"/>
      <c r="Y651" s="4"/>
      <c r="Z651" s="4"/>
      <c r="AA651" s="4"/>
      <c r="AB651" s="4"/>
      <c r="AC651" s="4"/>
      <c r="AD651" s="4"/>
      <c r="AE651" s="25"/>
      <c r="AF651" s="4"/>
      <c r="AG651" s="4"/>
      <c r="AH651" s="4"/>
      <c r="AI651" s="4"/>
      <c r="AM651" s="26"/>
      <c r="AN651" s="26"/>
      <c r="AO651" s="26"/>
      <c r="AP651" s="26"/>
    </row>
    <row r="652" spans="1:42" ht="12.75" customHeight="1" x14ac:dyDescent="0.2">
      <c r="A652" s="5"/>
      <c r="B652" s="5"/>
      <c r="C652" s="5"/>
      <c r="E652" s="5"/>
      <c r="F652" s="5"/>
      <c r="N652" s="5"/>
      <c r="O652" s="5"/>
      <c r="X652" s="4"/>
      <c r="Y652" s="4"/>
      <c r="Z652" s="4"/>
      <c r="AA652" s="4"/>
      <c r="AB652" s="4"/>
      <c r="AC652" s="4"/>
      <c r="AD652" s="4"/>
      <c r="AE652" s="25"/>
      <c r="AF652" s="4"/>
      <c r="AG652" s="4"/>
      <c r="AH652" s="4"/>
      <c r="AI652" s="4"/>
      <c r="AM652" s="26"/>
      <c r="AN652" s="26"/>
      <c r="AO652" s="26"/>
      <c r="AP652" s="26"/>
    </row>
    <row r="653" spans="1:42" ht="12.75" customHeight="1" x14ac:dyDescent="0.2">
      <c r="A653" s="5"/>
      <c r="B653" s="5"/>
      <c r="C653" s="5"/>
      <c r="E653" s="5"/>
      <c r="F653" s="5"/>
      <c r="N653" s="5"/>
      <c r="O653" s="5"/>
      <c r="X653" s="4"/>
      <c r="Y653" s="4"/>
      <c r="Z653" s="4"/>
      <c r="AA653" s="4"/>
      <c r="AB653" s="4"/>
      <c r="AC653" s="4"/>
      <c r="AD653" s="4"/>
      <c r="AE653" s="25"/>
      <c r="AF653" s="4"/>
      <c r="AG653" s="4"/>
      <c r="AH653" s="4"/>
      <c r="AI653" s="4"/>
      <c r="AM653" s="26"/>
      <c r="AN653" s="26"/>
      <c r="AO653" s="26"/>
      <c r="AP653" s="26"/>
    </row>
    <row r="654" spans="1:42" ht="12.75" customHeight="1" x14ac:dyDescent="0.2">
      <c r="A654" s="5"/>
      <c r="B654" s="5"/>
      <c r="C654" s="5"/>
      <c r="E654" s="5"/>
      <c r="F654" s="5"/>
      <c r="N654" s="5"/>
      <c r="O654" s="5"/>
      <c r="X654" s="4"/>
      <c r="Y654" s="4"/>
      <c r="Z654" s="4"/>
      <c r="AA654" s="4"/>
      <c r="AB654" s="4"/>
      <c r="AC654" s="4"/>
      <c r="AD654" s="4"/>
      <c r="AE654" s="25"/>
      <c r="AF654" s="4"/>
      <c r="AG654" s="4"/>
      <c r="AH654" s="4"/>
      <c r="AI654" s="4"/>
      <c r="AM654" s="26"/>
      <c r="AN654" s="26"/>
      <c r="AO654" s="26"/>
      <c r="AP654" s="26"/>
    </row>
    <row r="655" spans="1:42" ht="12.75" customHeight="1" x14ac:dyDescent="0.2">
      <c r="A655" s="5"/>
      <c r="B655" s="5"/>
      <c r="C655" s="5"/>
      <c r="E655" s="5"/>
      <c r="F655" s="5"/>
      <c r="N655" s="5"/>
      <c r="O655" s="5"/>
      <c r="X655" s="4"/>
      <c r="Y655" s="4"/>
      <c r="Z655" s="4"/>
      <c r="AA655" s="4"/>
      <c r="AB655" s="4"/>
      <c r="AC655" s="4"/>
      <c r="AD655" s="4"/>
      <c r="AE655" s="25"/>
      <c r="AF655" s="4"/>
      <c r="AG655" s="4"/>
      <c r="AH655" s="4"/>
      <c r="AI655" s="4"/>
      <c r="AM655" s="26"/>
      <c r="AN655" s="26"/>
      <c r="AO655" s="26"/>
      <c r="AP655" s="26"/>
    </row>
    <row r="656" spans="1:42" ht="12.75" customHeight="1" x14ac:dyDescent="0.2">
      <c r="A656" s="5"/>
      <c r="B656" s="5"/>
      <c r="C656" s="5"/>
      <c r="E656" s="5"/>
      <c r="F656" s="5"/>
      <c r="N656" s="5"/>
      <c r="O656" s="5"/>
      <c r="X656" s="4"/>
      <c r="Y656" s="4"/>
      <c r="Z656" s="4"/>
      <c r="AA656" s="4"/>
      <c r="AB656" s="4"/>
      <c r="AC656" s="4"/>
      <c r="AD656" s="4"/>
      <c r="AE656" s="25"/>
      <c r="AF656" s="4"/>
      <c r="AG656" s="4"/>
      <c r="AH656" s="4"/>
      <c r="AI656" s="4"/>
      <c r="AM656" s="26"/>
      <c r="AN656" s="26"/>
      <c r="AO656" s="26"/>
      <c r="AP656" s="26"/>
    </row>
    <row r="657" spans="1:42" ht="12.75" customHeight="1" x14ac:dyDescent="0.2">
      <c r="A657" s="5"/>
      <c r="B657" s="5"/>
      <c r="C657" s="5"/>
      <c r="E657" s="5"/>
      <c r="F657" s="5"/>
      <c r="N657" s="5"/>
      <c r="O657" s="5"/>
      <c r="X657" s="4"/>
      <c r="Y657" s="4"/>
      <c r="Z657" s="4"/>
      <c r="AA657" s="4"/>
      <c r="AB657" s="4"/>
      <c r="AC657" s="4"/>
      <c r="AD657" s="4"/>
      <c r="AE657" s="25"/>
      <c r="AF657" s="4"/>
      <c r="AG657" s="4"/>
      <c r="AH657" s="4"/>
      <c r="AI657" s="4"/>
      <c r="AM657" s="26"/>
      <c r="AN657" s="26"/>
      <c r="AO657" s="26"/>
      <c r="AP657" s="26"/>
    </row>
    <row r="658" spans="1:42" ht="12.75" customHeight="1" x14ac:dyDescent="0.2">
      <c r="A658" s="5"/>
      <c r="B658" s="5"/>
      <c r="C658" s="5"/>
      <c r="E658" s="5"/>
      <c r="F658" s="5"/>
      <c r="N658" s="5"/>
      <c r="O658" s="5"/>
      <c r="X658" s="4"/>
      <c r="Y658" s="4"/>
      <c r="Z658" s="4"/>
      <c r="AA658" s="4"/>
      <c r="AB658" s="4"/>
      <c r="AC658" s="4"/>
      <c r="AD658" s="4"/>
      <c r="AE658" s="25"/>
      <c r="AF658" s="4"/>
      <c r="AG658" s="4"/>
      <c r="AH658" s="4"/>
      <c r="AI658" s="4"/>
      <c r="AM658" s="26"/>
      <c r="AN658" s="26"/>
      <c r="AO658" s="26"/>
      <c r="AP658" s="26"/>
    </row>
    <row r="659" spans="1:42" ht="12.75" customHeight="1" x14ac:dyDescent="0.2">
      <c r="A659" s="5"/>
      <c r="B659" s="5"/>
      <c r="C659" s="5"/>
      <c r="E659" s="5"/>
      <c r="F659" s="5"/>
      <c r="N659" s="5"/>
      <c r="O659" s="5"/>
      <c r="X659" s="4"/>
      <c r="Y659" s="4"/>
      <c r="Z659" s="4"/>
      <c r="AA659" s="4"/>
      <c r="AB659" s="4"/>
      <c r="AC659" s="4"/>
      <c r="AD659" s="4"/>
      <c r="AE659" s="25"/>
      <c r="AF659" s="4"/>
      <c r="AG659" s="4"/>
      <c r="AH659" s="4"/>
      <c r="AI659" s="4"/>
      <c r="AM659" s="26"/>
      <c r="AN659" s="26"/>
      <c r="AO659" s="26"/>
      <c r="AP659" s="26"/>
    </row>
    <row r="660" spans="1:42" ht="12.75" customHeight="1" x14ac:dyDescent="0.2">
      <c r="A660" s="5"/>
      <c r="B660" s="5"/>
      <c r="C660" s="5"/>
      <c r="E660" s="5"/>
      <c r="F660" s="5"/>
      <c r="N660" s="5"/>
      <c r="O660" s="5"/>
      <c r="X660" s="4"/>
      <c r="Y660" s="4"/>
      <c r="Z660" s="4"/>
      <c r="AA660" s="4"/>
      <c r="AB660" s="4"/>
      <c r="AC660" s="4"/>
      <c r="AD660" s="4"/>
      <c r="AE660" s="25"/>
      <c r="AF660" s="4"/>
      <c r="AG660" s="4"/>
      <c r="AH660" s="4"/>
      <c r="AI660" s="4"/>
      <c r="AM660" s="26"/>
      <c r="AN660" s="26"/>
      <c r="AO660" s="26"/>
      <c r="AP660" s="26"/>
    </row>
    <row r="661" spans="1:42" ht="12.75" customHeight="1" x14ac:dyDescent="0.2">
      <c r="A661" s="5"/>
      <c r="B661" s="5"/>
      <c r="C661" s="5"/>
      <c r="E661" s="5"/>
      <c r="F661" s="5"/>
      <c r="N661" s="5"/>
      <c r="O661" s="5"/>
      <c r="X661" s="4"/>
      <c r="Y661" s="4"/>
      <c r="Z661" s="4"/>
      <c r="AA661" s="4"/>
      <c r="AB661" s="4"/>
      <c r="AC661" s="4"/>
      <c r="AD661" s="4"/>
      <c r="AE661" s="25"/>
      <c r="AF661" s="4"/>
      <c r="AG661" s="4"/>
      <c r="AH661" s="4"/>
      <c r="AI661" s="4"/>
      <c r="AM661" s="26"/>
      <c r="AN661" s="26"/>
      <c r="AO661" s="26"/>
      <c r="AP661" s="26"/>
    </row>
    <row r="662" spans="1:42" ht="12.75" customHeight="1" x14ac:dyDescent="0.2">
      <c r="A662" s="5"/>
      <c r="B662" s="5"/>
      <c r="C662" s="5"/>
      <c r="E662" s="5"/>
      <c r="F662" s="5"/>
      <c r="N662" s="5"/>
      <c r="O662" s="5"/>
      <c r="X662" s="4"/>
      <c r="Y662" s="4"/>
      <c r="Z662" s="4"/>
      <c r="AA662" s="4"/>
      <c r="AB662" s="4"/>
      <c r="AC662" s="4"/>
      <c r="AD662" s="4"/>
      <c r="AE662" s="25"/>
      <c r="AF662" s="4"/>
      <c r="AG662" s="4"/>
      <c r="AH662" s="4"/>
      <c r="AI662" s="4"/>
      <c r="AM662" s="26"/>
      <c r="AN662" s="26"/>
      <c r="AO662" s="26"/>
      <c r="AP662" s="26"/>
    </row>
    <row r="663" spans="1:42" ht="12.75" customHeight="1" x14ac:dyDescent="0.2">
      <c r="A663" s="5"/>
      <c r="B663" s="5"/>
      <c r="C663" s="5"/>
      <c r="E663" s="5"/>
      <c r="F663" s="5"/>
      <c r="N663" s="5"/>
      <c r="O663" s="5"/>
      <c r="X663" s="4"/>
      <c r="Y663" s="4"/>
      <c r="Z663" s="4"/>
      <c r="AA663" s="4"/>
      <c r="AB663" s="4"/>
      <c r="AC663" s="4"/>
      <c r="AD663" s="4"/>
      <c r="AE663" s="25"/>
      <c r="AF663" s="4"/>
      <c r="AG663" s="4"/>
      <c r="AH663" s="4"/>
      <c r="AI663" s="4"/>
      <c r="AM663" s="26"/>
      <c r="AN663" s="26"/>
      <c r="AO663" s="26"/>
      <c r="AP663" s="26"/>
    </row>
    <row r="664" spans="1:42" ht="12.75" customHeight="1" x14ac:dyDescent="0.2">
      <c r="A664" s="5"/>
      <c r="B664" s="5"/>
      <c r="C664" s="5"/>
      <c r="E664" s="5"/>
      <c r="F664" s="5"/>
      <c r="N664" s="5"/>
      <c r="O664" s="5"/>
      <c r="X664" s="4"/>
      <c r="Y664" s="4"/>
      <c r="Z664" s="4"/>
      <c r="AA664" s="4"/>
      <c r="AB664" s="4"/>
      <c r="AC664" s="4"/>
      <c r="AD664" s="4"/>
      <c r="AE664" s="25"/>
      <c r="AF664" s="4"/>
      <c r="AG664" s="4"/>
      <c r="AH664" s="4"/>
      <c r="AI664" s="4"/>
      <c r="AM664" s="26"/>
      <c r="AN664" s="26"/>
      <c r="AO664" s="26"/>
      <c r="AP664" s="26"/>
    </row>
    <row r="665" spans="1:42" ht="12.75" customHeight="1" x14ac:dyDescent="0.2">
      <c r="A665" s="5"/>
      <c r="B665" s="5"/>
      <c r="C665" s="5"/>
      <c r="E665" s="5"/>
      <c r="F665" s="5"/>
      <c r="N665" s="5"/>
      <c r="O665" s="5"/>
      <c r="X665" s="4"/>
      <c r="Y665" s="4"/>
      <c r="Z665" s="4"/>
      <c r="AA665" s="4"/>
      <c r="AB665" s="4"/>
      <c r="AC665" s="4"/>
      <c r="AD665" s="4"/>
      <c r="AE665" s="25"/>
      <c r="AF665" s="4"/>
      <c r="AG665" s="4"/>
      <c r="AH665" s="4"/>
      <c r="AI665" s="4"/>
      <c r="AM665" s="26"/>
      <c r="AN665" s="26"/>
      <c r="AO665" s="26"/>
      <c r="AP665" s="26"/>
    </row>
    <row r="666" spans="1:42" ht="12.75" customHeight="1" x14ac:dyDescent="0.2">
      <c r="A666" s="5"/>
      <c r="B666" s="5"/>
      <c r="C666" s="5"/>
      <c r="E666" s="5"/>
      <c r="F666" s="5"/>
      <c r="N666" s="5"/>
      <c r="O666" s="5"/>
      <c r="X666" s="4"/>
      <c r="Y666" s="4"/>
      <c r="Z666" s="4"/>
      <c r="AA666" s="4"/>
      <c r="AB666" s="4"/>
      <c r="AC666" s="4"/>
      <c r="AD666" s="4"/>
      <c r="AE666" s="25"/>
      <c r="AF666" s="4"/>
      <c r="AG666" s="4"/>
      <c r="AH666" s="4"/>
      <c r="AI666" s="4"/>
      <c r="AM666" s="26"/>
      <c r="AN666" s="26"/>
      <c r="AO666" s="26"/>
      <c r="AP666" s="26"/>
    </row>
    <row r="667" spans="1:42" ht="12.75" customHeight="1" x14ac:dyDescent="0.2">
      <c r="A667" s="5"/>
      <c r="B667" s="5"/>
      <c r="C667" s="5"/>
      <c r="E667" s="5"/>
      <c r="F667" s="5"/>
      <c r="N667" s="5"/>
      <c r="O667" s="5"/>
      <c r="X667" s="4"/>
      <c r="Y667" s="4"/>
      <c r="Z667" s="4"/>
      <c r="AA667" s="4"/>
      <c r="AB667" s="4"/>
      <c r="AC667" s="4"/>
      <c r="AD667" s="4"/>
      <c r="AE667" s="25"/>
      <c r="AF667" s="4"/>
      <c r="AG667" s="4"/>
      <c r="AH667" s="4"/>
      <c r="AI667" s="4"/>
      <c r="AM667" s="26"/>
      <c r="AN667" s="26"/>
      <c r="AO667" s="26"/>
      <c r="AP667" s="26"/>
    </row>
    <row r="668" spans="1:42" ht="12.75" customHeight="1" x14ac:dyDescent="0.2">
      <c r="A668" s="5"/>
      <c r="B668" s="5"/>
      <c r="C668" s="5"/>
      <c r="E668" s="5"/>
      <c r="F668" s="5"/>
      <c r="N668" s="5"/>
      <c r="O668" s="5"/>
      <c r="X668" s="4"/>
      <c r="Y668" s="4"/>
      <c r="Z668" s="4"/>
      <c r="AA668" s="4"/>
      <c r="AB668" s="4"/>
      <c r="AC668" s="4"/>
      <c r="AD668" s="4"/>
      <c r="AE668" s="25"/>
      <c r="AF668" s="4"/>
      <c r="AG668" s="4"/>
      <c r="AH668" s="4"/>
      <c r="AI668" s="4"/>
      <c r="AM668" s="26"/>
      <c r="AN668" s="26"/>
      <c r="AO668" s="26"/>
      <c r="AP668" s="26"/>
    </row>
    <row r="669" spans="1:42" ht="12.75" customHeight="1" x14ac:dyDescent="0.2">
      <c r="A669" s="5"/>
      <c r="B669" s="5"/>
      <c r="C669" s="5"/>
      <c r="E669" s="5"/>
      <c r="F669" s="5"/>
      <c r="N669" s="5"/>
      <c r="O669" s="5"/>
      <c r="X669" s="4"/>
      <c r="Y669" s="4"/>
      <c r="Z669" s="4"/>
      <c r="AA669" s="4"/>
      <c r="AB669" s="4"/>
      <c r="AC669" s="4"/>
      <c r="AD669" s="4"/>
      <c r="AE669" s="25"/>
      <c r="AF669" s="4"/>
      <c r="AG669" s="4"/>
      <c r="AH669" s="4"/>
      <c r="AI669" s="4"/>
      <c r="AM669" s="26"/>
      <c r="AN669" s="26"/>
      <c r="AO669" s="26"/>
      <c r="AP669" s="26"/>
    </row>
    <row r="670" spans="1:42" ht="12.75" customHeight="1" x14ac:dyDescent="0.2">
      <c r="A670" s="5"/>
      <c r="B670" s="5"/>
      <c r="C670" s="5"/>
      <c r="E670" s="5"/>
      <c r="F670" s="5"/>
      <c r="N670" s="5"/>
      <c r="O670" s="5"/>
      <c r="X670" s="4"/>
      <c r="Y670" s="4"/>
      <c r="Z670" s="4"/>
      <c r="AA670" s="4"/>
      <c r="AB670" s="4"/>
      <c r="AC670" s="4"/>
      <c r="AD670" s="4"/>
      <c r="AE670" s="25"/>
      <c r="AF670" s="4"/>
      <c r="AG670" s="4"/>
      <c r="AH670" s="4"/>
      <c r="AI670" s="4"/>
      <c r="AM670" s="26"/>
      <c r="AN670" s="26"/>
      <c r="AO670" s="26"/>
      <c r="AP670" s="26"/>
    </row>
    <row r="671" spans="1:42" ht="12.75" customHeight="1" x14ac:dyDescent="0.2">
      <c r="A671" s="5"/>
      <c r="B671" s="5"/>
      <c r="C671" s="5"/>
      <c r="E671" s="5"/>
      <c r="F671" s="5"/>
      <c r="N671" s="5"/>
      <c r="O671" s="5"/>
      <c r="X671" s="4"/>
      <c r="Y671" s="4"/>
      <c r="Z671" s="4"/>
      <c r="AA671" s="4"/>
      <c r="AB671" s="4"/>
      <c r="AC671" s="4"/>
      <c r="AD671" s="4"/>
      <c r="AE671" s="25"/>
      <c r="AF671" s="4"/>
      <c r="AG671" s="4"/>
      <c r="AH671" s="4"/>
      <c r="AI671" s="4"/>
      <c r="AM671" s="26"/>
      <c r="AN671" s="26"/>
      <c r="AO671" s="26"/>
      <c r="AP671" s="26"/>
    </row>
    <row r="672" spans="1:42" ht="12.75" customHeight="1" x14ac:dyDescent="0.2">
      <c r="A672" s="5"/>
      <c r="B672" s="5"/>
      <c r="C672" s="5"/>
      <c r="E672" s="5"/>
      <c r="F672" s="5"/>
      <c r="N672" s="5"/>
      <c r="O672" s="5"/>
      <c r="X672" s="4"/>
      <c r="Y672" s="4"/>
      <c r="Z672" s="4"/>
      <c r="AA672" s="4"/>
      <c r="AB672" s="4"/>
      <c r="AC672" s="4"/>
      <c r="AD672" s="4"/>
      <c r="AE672" s="25"/>
      <c r="AF672" s="4"/>
      <c r="AG672" s="4"/>
      <c r="AH672" s="4"/>
      <c r="AI672" s="4"/>
      <c r="AM672" s="26"/>
      <c r="AN672" s="26"/>
      <c r="AO672" s="26"/>
      <c r="AP672" s="26"/>
    </row>
    <row r="673" spans="1:42" ht="12.75" customHeight="1" x14ac:dyDescent="0.2">
      <c r="A673" s="5"/>
      <c r="B673" s="5"/>
      <c r="C673" s="5"/>
      <c r="E673" s="5"/>
      <c r="F673" s="5"/>
      <c r="N673" s="5"/>
      <c r="O673" s="5"/>
      <c r="X673" s="4"/>
      <c r="Y673" s="4"/>
      <c r="Z673" s="4"/>
      <c r="AA673" s="4"/>
      <c r="AB673" s="4"/>
      <c r="AC673" s="4"/>
      <c r="AD673" s="4"/>
      <c r="AE673" s="25"/>
      <c r="AF673" s="4"/>
      <c r="AG673" s="4"/>
      <c r="AH673" s="4"/>
      <c r="AI673" s="4"/>
      <c r="AM673" s="26"/>
      <c r="AN673" s="26"/>
      <c r="AO673" s="26"/>
      <c r="AP673" s="26"/>
    </row>
    <row r="674" spans="1:42" ht="12.75" customHeight="1" x14ac:dyDescent="0.2">
      <c r="A674" s="5"/>
      <c r="B674" s="5"/>
      <c r="C674" s="5"/>
      <c r="E674" s="5"/>
      <c r="F674" s="5"/>
      <c r="N674" s="5"/>
      <c r="O674" s="5"/>
      <c r="X674" s="4"/>
      <c r="Y674" s="4"/>
      <c r="Z674" s="4"/>
      <c r="AA674" s="4"/>
      <c r="AB674" s="4"/>
      <c r="AC674" s="4"/>
      <c r="AD674" s="4"/>
      <c r="AE674" s="25"/>
      <c r="AF674" s="4"/>
      <c r="AG674" s="4"/>
      <c r="AH674" s="4"/>
      <c r="AI674" s="4"/>
      <c r="AM674" s="26"/>
      <c r="AN674" s="26"/>
      <c r="AO674" s="26"/>
      <c r="AP674" s="26"/>
    </row>
    <row r="675" spans="1:42" ht="12.75" customHeight="1" x14ac:dyDescent="0.2">
      <c r="A675" s="5"/>
      <c r="B675" s="5"/>
      <c r="C675" s="5"/>
      <c r="E675" s="5"/>
      <c r="F675" s="5"/>
      <c r="N675" s="5"/>
      <c r="O675" s="5"/>
      <c r="X675" s="4"/>
      <c r="Y675" s="4"/>
      <c r="Z675" s="4"/>
      <c r="AA675" s="4"/>
      <c r="AB675" s="4"/>
      <c r="AC675" s="4"/>
      <c r="AD675" s="4"/>
      <c r="AE675" s="25"/>
      <c r="AF675" s="4"/>
      <c r="AG675" s="4"/>
      <c r="AH675" s="4"/>
      <c r="AI675" s="4"/>
      <c r="AM675" s="26"/>
      <c r="AN675" s="26"/>
      <c r="AO675" s="26"/>
      <c r="AP675" s="26"/>
    </row>
    <row r="676" spans="1:42" ht="12.75" customHeight="1" x14ac:dyDescent="0.2">
      <c r="A676" s="5"/>
      <c r="B676" s="5"/>
      <c r="C676" s="5"/>
      <c r="E676" s="5"/>
      <c r="F676" s="5"/>
      <c r="N676" s="5"/>
      <c r="O676" s="5"/>
      <c r="X676" s="4"/>
      <c r="Y676" s="4"/>
      <c r="Z676" s="4"/>
      <c r="AA676" s="4"/>
      <c r="AB676" s="4"/>
      <c r="AC676" s="4"/>
      <c r="AD676" s="4"/>
      <c r="AE676" s="25"/>
      <c r="AF676" s="4"/>
      <c r="AG676" s="4"/>
      <c r="AH676" s="4"/>
      <c r="AI676" s="4"/>
      <c r="AM676" s="26"/>
      <c r="AN676" s="26"/>
      <c r="AO676" s="26"/>
      <c r="AP676" s="26"/>
    </row>
    <row r="677" spans="1:42" ht="12.75" customHeight="1" x14ac:dyDescent="0.2">
      <c r="A677" s="5"/>
      <c r="B677" s="5"/>
      <c r="C677" s="5"/>
      <c r="E677" s="5"/>
      <c r="F677" s="5"/>
      <c r="N677" s="5"/>
      <c r="O677" s="5"/>
      <c r="X677" s="4"/>
      <c r="Y677" s="4"/>
      <c r="Z677" s="4"/>
      <c r="AA677" s="4"/>
      <c r="AB677" s="4"/>
      <c r="AC677" s="4"/>
      <c r="AD677" s="4"/>
      <c r="AE677" s="25"/>
      <c r="AF677" s="4"/>
      <c r="AG677" s="4"/>
      <c r="AH677" s="4"/>
      <c r="AI677" s="4"/>
      <c r="AM677" s="26"/>
      <c r="AN677" s="26"/>
      <c r="AO677" s="26"/>
      <c r="AP677" s="26"/>
    </row>
    <row r="678" spans="1:42" ht="12.75" customHeight="1" x14ac:dyDescent="0.2">
      <c r="A678" s="5"/>
      <c r="B678" s="5"/>
      <c r="C678" s="5"/>
      <c r="E678" s="5"/>
      <c r="F678" s="5"/>
      <c r="N678" s="5"/>
      <c r="O678" s="5"/>
      <c r="X678" s="4"/>
      <c r="Y678" s="4"/>
      <c r="Z678" s="4"/>
      <c r="AA678" s="4"/>
      <c r="AB678" s="4"/>
      <c r="AC678" s="4"/>
      <c r="AD678" s="4"/>
      <c r="AE678" s="25"/>
      <c r="AF678" s="4"/>
      <c r="AG678" s="4"/>
      <c r="AH678" s="4"/>
      <c r="AI678" s="4"/>
      <c r="AM678" s="26"/>
      <c r="AN678" s="26"/>
      <c r="AO678" s="26"/>
      <c r="AP678" s="26"/>
    </row>
    <row r="679" spans="1:42" ht="12.75" customHeight="1" x14ac:dyDescent="0.2">
      <c r="A679" s="5"/>
      <c r="B679" s="5"/>
      <c r="C679" s="5"/>
      <c r="E679" s="5"/>
      <c r="F679" s="5"/>
      <c r="N679" s="5"/>
      <c r="O679" s="5"/>
      <c r="X679" s="4"/>
      <c r="Y679" s="4"/>
      <c r="Z679" s="4"/>
      <c r="AA679" s="4"/>
      <c r="AB679" s="4"/>
      <c r="AC679" s="4"/>
      <c r="AD679" s="4"/>
      <c r="AE679" s="25"/>
      <c r="AF679" s="4"/>
      <c r="AG679" s="4"/>
      <c r="AH679" s="4"/>
      <c r="AI679" s="4"/>
      <c r="AM679" s="26"/>
      <c r="AN679" s="26"/>
      <c r="AO679" s="26"/>
      <c r="AP679" s="26"/>
    </row>
    <row r="680" spans="1:42" ht="12.75" customHeight="1" x14ac:dyDescent="0.2">
      <c r="A680" s="5"/>
      <c r="B680" s="5"/>
      <c r="C680" s="5"/>
      <c r="E680" s="5"/>
      <c r="F680" s="5"/>
      <c r="N680" s="5"/>
      <c r="O680" s="5"/>
      <c r="X680" s="4"/>
      <c r="Y680" s="4"/>
      <c r="Z680" s="4"/>
      <c r="AA680" s="4"/>
      <c r="AB680" s="4"/>
      <c r="AC680" s="4"/>
      <c r="AD680" s="4"/>
      <c r="AE680" s="25"/>
      <c r="AF680" s="4"/>
      <c r="AG680" s="4"/>
      <c r="AH680" s="4"/>
      <c r="AI680" s="4"/>
      <c r="AM680" s="26"/>
      <c r="AN680" s="26"/>
      <c r="AO680" s="26"/>
      <c r="AP680" s="26"/>
    </row>
    <row r="681" spans="1:42" ht="12.75" customHeight="1" x14ac:dyDescent="0.2">
      <c r="A681" s="5"/>
      <c r="B681" s="5"/>
      <c r="C681" s="5"/>
      <c r="E681" s="5"/>
      <c r="F681" s="5"/>
      <c r="N681" s="5"/>
      <c r="O681" s="5"/>
      <c r="X681" s="4"/>
      <c r="Y681" s="4"/>
      <c r="Z681" s="4"/>
      <c r="AA681" s="4"/>
      <c r="AB681" s="4"/>
      <c r="AC681" s="4"/>
      <c r="AD681" s="4"/>
      <c r="AE681" s="25"/>
      <c r="AF681" s="4"/>
      <c r="AG681" s="4"/>
      <c r="AH681" s="4"/>
      <c r="AI681" s="4"/>
      <c r="AM681" s="26"/>
      <c r="AN681" s="26"/>
      <c r="AO681" s="26"/>
      <c r="AP681" s="26"/>
    </row>
    <row r="682" spans="1:42" ht="12.75" customHeight="1" x14ac:dyDescent="0.2">
      <c r="A682" s="5"/>
      <c r="B682" s="5"/>
      <c r="C682" s="5"/>
      <c r="E682" s="5"/>
      <c r="F682" s="5"/>
      <c r="N682" s="5"/>
      <c r="O682" s="5"/>
      <c r="X682" s="4"/>
      <c r="Y682" s="4"/>
      <c r="Z682" s="4"/>
      <c r="AA682" s="4"/>
      <c r="AB682" s="4"/>
      <c r="AC682" s="4"/>
      <c r="AD682" s="4"/>
      <c r="AE682" s="25"/>
      <c r="AF682" s="4"/>
      <c r="AG682" s="4"/>
      <c r="AH682" s="4"/>
      <c r="AI682" s="4"/>
      <c r="AM682" s="26"/>
      <c r="AN682" s="26"/>
      <c r="AO682" s="26"/>
      <c r="AP682" s="26"/>
    </row>
    <row r="683" spans="1:42" ht="12.75" customHeight="1" x14ac:dyDescent="0.2">
      <c r="A683" s="5"/>
      <c r="B683" s="5"/>
      <c r="C683" s="5"/>
      <c r="E683" s="5"/>
      <c r="F683" s="5"/>
      <c r="N683" s="5"/>
      <c r="O683" s="5"/>
      <c r="X683" s="4"/>
      <c r="Y683" s="4"/>
      <c r="Z683" s="4"/>
      <c r="AA683" s="4"/>
      <c r="AB683" s="4"/>
      <c r="AC683" s="4"/>
      <c r="AD683" s="4"/>
      <c r="AE683" s="25"/>
      <c r="AF683" s="4"/>
      <c r="AG683" s="4"/>
      <c r="AH683" s="4"/>
      <c r="AI683" s="4"/>
      <c r="AM683" s="26"/>
      <c r="AN683" s="26"/>
      <c r="AO683" s="26"/>
      <c r="AP683" s="26"/>
    </row>
    <row r="684" spans="1:42" ht="12.75" customHeight="1" x14ac:dyDescent="0.2">
      <c r="A684" s="5"/>
      <c r="B684" s="5"/>
      <c r="C684" s="5"/>
      <c r="E684" s="5"/>
      <c r="F684" s="5"/>
      <c r="N684" s="5"/>
      <c r="O684" s="5"/>
      <c r="X684" s="4"/>
      <c r="Y684" s="4"/>
      <c r="Z684" s="4"/>
      <c r="AA684" s="4"/>
      <c r="AB684" s="4"/>
      <c r="AC684" s="4"/>
      <c r="AD684" s="4"/>
      <c r="AE684" s="25"/>
      <c r="AF684" s="4"/>
      <c r="AG684" s="4"/>
      <c r="AH684" s="4"/>
      <c r="AI684" s="4"/>
      <c r="AM684" s="26"/>
      <c r="AN684" s="26"/>
      <c r="AO684" s="26"/>
      <c r="AP684" s="26"/>
    </row>
    <row r="685" spans="1:42" ht="12.75" customHeight="1" x14ac:dyDescent="0.2">
      <c r="A685" s="5"/>
      <c r="B685" s="5"/>
      <c r="C685" s="5"/>
      <c r="E685" s="5"/>
      <c r="F685" s="5"/>
      <c r="N685" s="5"/>
      <c r="O685" s="5"/>
      <c r="X685" s="4"/>
      <c r="Y685" s="4"/>
      <c r="Z685" s="4"/>
      <c r="AA685" s="4"/>
      <c r="AB685" s="4"/>
      <c r="AC685" s="4"/>
      <c r="AD685" s="4"/>
      <c r="AE685" s="25"/>
      <c r="AF685" s="4"/>
      <c r="AG685" s="4"/>
      <c r="AH685" s="4"/>
      <c r="AI685" s="4"/>
      <c r="AM685" s="26"/>
      <c r="AN685" s="26"/>
      <c r="AO685" s="26"/>
      <c r="AP685" s="26"/>
    </row>
    <row r="686" spans="1:42" ht="12.75" customHeight="1" x14ac:dyDescent="0.2">
      <c r="A686" s="5"/>
      <c r="B686" s="5"/>
      <c r="C686" s="5"/>
      <c r="E686" s="5"/>
      <c r="F686" s="5"/>
      <c r="N686" s="5"/>
      <c r="O686" s="5"/>
      <c r="X686" s="4"/>
      <c r="Y686" s="4"/>
      <c r="Z686" s="4"/>
      <c r="AA686" s="4"/>
      <c r="AB686" s="4"/>
      <c r="AC686" s="4"/>
      <c r="AD686" s="4"/>
      <c r="AE686" s="25"/>
      <c r="AF686" s="4"/>
      <c r="AG686" s="4"/>
      <c r="AH686" s="4"/>
      <c r="AI686" s="4"/>
      <c r="AM686" s="26"/>
      <c r="AN686" s="26"/>
      <c r="AO686" s="26"/>
      <c r="AP686" s="26"/>
    </row>
    <row r="687" spans="1:42" ht="12.75" customHeight="1" x14ac:dyDescent="0.2">
      <c r="A687" s="5"/>
      <c r="B687" s="5"/>
      <c r="C687" s="5"/>
      <c r="E687" s="5"/>
      <c r="F687" s="5"/>
      <c r="N687" s="5"/>
      <c r="O687" s="5"/>
      <c r="X687" s="4"/>
      <c r="Y687" s="4"/>
      <c r="Z687" s="4"/>
      <c r="AA687" s="4"/>
      <c r="AB687" s="4"/>
      <c r="AC687" s="4"/>
      <c r="AD687" s="4"/>
      <c r="AE687" s="25"/>
      <c r="AF687" s="4"/>
      <c r="AG687" s="4"/>
      <c r="AH687" s="4"/>
      <c r="AI687" s="4"/>
      <c r="AM687" s="26"/>
      <c r="AN687" s="26"/>
      <c r="AO687" s="26"/>
      <c r="AP687" s="26"/>
    </row>
    <row r="688" spans="1:42" ht="12.75" customHeight="1" x14ac:dyDescent="0.2">
      <c r="A688" s="5"/>
      <c r="B688" s="5"/>
      <c r="C688" s="5"/>
      <c r="E688" s="5"/>
      <c r="F688" s="5"/>
      <c r="N688" s="5"/>
      <c r="O688" s="5"/>
      <c r="X688" s="4"/>
      <c r="Y688" s="4"/>
      <c r="Z688" s="4"/>
      <c r="AA688" s="4"/>
      <c r="AB688" s="4"/>
      <c r="AC688" s="4"/>
      <c r="AD688" s="4"/>
      <c r="AE688" s="25"/>
      <c r="AF688" s="4"/>
      <c r="AG688" s="4"/>
      <c r="AH688" s="4"/>
      <c r="AI688" s="4"/>
      <c r="AM688" s="26"/>
      <c r="AN688" s="26"/>
      <c r="AO688" s="26"/>
      <c r="AP688" s="26"/>
    </row>
    <row r="689" spans="1:42" ht="12.75" customHeight="1" x14ac:dyDescent="0.2">
      <c r="A689" s="5"/>
      <c r="B689" s="5"/>
      <c r="C689" s="5"/>
      <c r="E689" s="5"/>
      <c r="F689" s="5"/>
      <c r="N689" s="5"/>
      <c r="O689" s="5"/>
      <c r="X689" s="4"/>
      <c r="Y689" s="4"/>
      <c r="Z689" s="4"/>
      <c r="AA689" s="4"/>
      <c r="AB689" s="4"/>
      <c r="AC689" s="4"/>
      <c r="AD689" s="4"/>
      <c r="AE689" s="25"/>
      <c r="AF689" s="4"/>
      <c r="AG689" s="4"/>
      <c r="AH689" s="4"/>
      <c r="AI689" s="4"/>
      <c r="AM689" s="26"/>
      <c r="AN689" s="26"/>
      <c r="AO689" s="26"/>
      <c r="AP689" s="26"/>
    </row>
    <row r="690" spans="1:42" ht="12.75" customHeight="1" x14ac:dyDescent="0.2">
      <c r="A690" s="5"/>
      <c r="B690" s="5"/>
      <c r="C690" s="5"/>
      <c r="E690" s="5"/>
      <c r="F690" s="5"/>
      <c r="N690" s="5"/>
      <c r="O690" s="5"/>
      <c r="X690" s="4"/>
      <c r="Y690" s="4"/>
      <c r="Z690" s="4"/>
      <c r="AA690" s="4"/>
      <c r="AB690" s="4"/>
      <c r="AC690" s="4"/>
      <c r="AD690" s="4"/>
      <c r="AE690" s="25"/>
      <c r="AF690" s="4"/>
      <c r="AG690" s="4"/>
      <c r="AH690" s="4"/>
      <c r="AI690" s="4"/>
      <c r="AM690" s="26"/>
      <c r="AN690" s="26"/>
      <c r="AO690" s="26"/>
      <c r="AP690" s="26"/>
    </row>
    <row r="691" spans="1:42" ht="12.75" customHeight="1" x14ac:dyDescent="0.2">
      <c r="A691" s="5"/>
      <c r="B691" s="5"/>
      <c r="C691" s="5"/>
      <c r="E691" s="5"/>
      <c r="F691" s="5"/>
      <c r="N691" s="5"/>
      <c r="O691" s="5"/>
      <c r="X691" s="4"/>
      <c r="Y691" s="4"/>
      <c r="Z691" s="4"/>
      <c r="AA691" s="4"/>
      <c r="AB691" s="4"/>
      <c r="AC691" s="4"/>
      <c r="AD691" s="4"/>
      <c r="AE691" s="25"/>
      <c r="AF691" s="4"/>
      <c r="AG691" s="4"/>
      <c r="AH691" s="4"/>
      <c r="AI691" s="4"/>
      <c r="AM691" s="26"/>
      <c r="AN691" s="26"/>
      <c r="AO691" s="26"/>
      <c r="AP691" s="26"/>
    </row>
    <row r="692" spans="1:42" ht="12.75" customHeight="1" x14ac:dyDescent="0.2">
      <c r="A692" s="5"/>
      <c r="B692" s="5"/>
      <c r="C692" s="5"/>
      <c r="E692" s="5"/>
      <c r="F692" s="5"/>
      <c r="N692" s="5"/>
      <c r="O692" s="5"/>
      <c r="X692" s="4"/>
      <c r="Y692" s="4"/>
      <c r="Z692" s="4"/>
      <c r="AA692" s="4"/>
      <c r="AB692" s="4"/>
      <c r="AC692" s="4"/>
      <c r="AD692" s="4"/>
      <c r="AE692" s="25"/>
      <c r="AF692" s="4"/>
      <c r="AG692" s="4"/>
      <c r="AH692" s="4"/>
      <c r="AI692" s="4"/>
      <c r="AM692" s="26"/>
      <c r="AN692" s="26"/>
      <c r="AO692" s="26"/>
      <c r="AP692" s="26"/>
    </row>
    <row r="693" spans="1:42" ht="12.75" customHeight="1" x14ac:dyDescent="0.2">
      <c r="A693" s="5"/>
      <c r="B693" s="5"/>
      <c r="C693" s="5"/>
      <c r="E693" s="5"/>
      <c r="F693" s="5"/>
      <c r="N693" s="5"/>
      <c r="O693" s="5"/>
      <c r="X693" s="4"/>
      <c r="Y693" s="4"/>
      <c r="Z693" s="4"/>
      <c r="AA693" s="4"/>
      <c r="AB693" s="4"/>
      <c r="AC693" s="4"/>
      <c r="AD693" s="4"/>
      <c r="AE693" s="25"/>
      <c r="AF693" s="4"/>
      <c r="AG693" s="4"/>
      <c r="AH693" s="4"/>
      <c r="AI693" s="4"/>
      <c r="AM693" s="26"/>
      <c r="AN693" s="26"/>
      <c r="AO693" s="26"/>
      <c r="AP693" s="26"/>
    </row>
    <row r="694" spans="1:42" ht="12.75" customHeight="1" x14ac:dyDescent="0.2">
      <c r="A694" s="5"/>
      <c r="B694" s="5"/>
      <c r="C694" s="5"/>
      <c r="E694" s="5"/>
      <c r="F694" s="5"/>
      <c r="N694" s="5"/>
      <c r="O694" s="5"/>
      <c r="X694" s="4"/>
      <c r="Y694" s="4"/>
      <c r="Z694" s="4"/>
      <c r="AA694" s="4"/>
      <c r="AB694" s="4"/>
      <c r="AC694" s="4"/>
      <c r="AD694" s="4"/>
      <c r="AE694" s="25"/>
      <c r="AF694" s="4"/>
      <c r="AG694" s="4"/>
      <c r="AH694" s="4"/>
      <c r="AI694" s="4"/>
      <c r="AM694" s="26"/>
      <c r="AN694" s="26"/>
      <c r="AO694" s="26"/>
      <c r="AP694" s="26"/>
    </row>
    <row r="695" spans="1:42" ht="12.75" customHeight="1" x14ac:dyDescent="0.2">
      <c r="A695" s="5"/>
      <c r="B695" s="5"/>
      <c r="C695" s="5"/>
      <c r="E695" s="5"/>
      <c r="F695" s="5"/>
      <c r="N695" s="5"/>
      <c r="O695" s="5"/>
      <c r="X695" s="4"/>
      <c r="Y695" s="4"/>
      <c r="Z695" s="4"/>
      <c r="AA695" s="4"/>
      <c r="AB695" s="4"/>
      <c r="AC695" s="4"/>
      <c r="AD695" s="4"/>
      <c r="AE695" s="25"/>
      <c r="AF695" s="4"/>
      <c r="AG695" s="4"/>
      <c r="AH695" s="4"/>
      <c r="AI695" s="4"/>
      <c r="AM695" s="26"/>
      <c r="AN695" s="26"/>
      <c r="AO695" s="26"/>
      <c r="AP695" s="26"/>
    </row>
    <row r="696" spans="1:42" ht="12.75" customHeight="1" x14ac:dyDescent="0.2">
      <c r="A696" s="5"/>
      <c r="B696" s="5"/>
      <c r="C696" s="5"/>
      <c r="E696" s="5"/>
      <c r="F696" s="5"/>
      <c r="N696" s="5"/>
      <c r="O696" s="5"/>
      <c r="X696" s="4"/>
      <c r="Y696" s="4"/>
      <c r="Z696" s="4"/>
      <c r="AA696" s="4"/>
      <c r="AB696" s="4"/>
      <c r="AC696" s="4"/>
      <c r="AD696" s="4"/>
      <c r="AE696" s="25"/>
      <c r="AF696" s="4"/>
      <c r="AG696" s="4"/>
      <c r="AH696" s="4"/>
      <c r="AI696" s="4"/>
      <c r="AM696" s="26"/>
      <c r="AN696" s="26"/>
      <c r="AO696" s="26"/>
      <c r="AP696" s="26"/>
    </row>
    <row r="697" spans="1:42" ht="12.75" customHeight="1" x14ac:dyDescent="0.2">
      <c r="A697" s="5"/>
      <c r="B697" s="5"/>
      <c r="C697" s="5"/>
      <c r="E697" s="5"/>
      <c r="F697" s="5"/>
      <c r="N697" s="5"/>
      <c r="O697" s="5"/>
      <c r="X697" s="4"/>
      <c r="Y697" s="4"/>
      <c r="Z697" s="4"/>
      <c r="AA697" s="4"/>
      <c r="AB697" s="4"/>
      <c r="AC697" s="4"/>
      <c r="AD697" s="4"/>
      <c r="AE697" s="25"/>
      <c r="AF697" s="4"/>
      <c r="AG697" s="4"/>
      <c r="AH697" s="4"/>
      <c r="AI697" s="4"/>
      <c r="AM697" s="26"/>
      <c r="AN697" s="26"/>
      <c r="AO697" s="26"/>
      <c r="AP697" s="26"/>
    </row>
    <row r="698" spans="1:42" ht="12.75" customHeight="1" x14ac:dyDescent="0.2">
      <c r="A698" s="5"/>
      <c r="B698" s="5"/>
      <c r="C698" s="5"/>
      <c r="E698" s="5"/>
      <c r="F698" s="5"/>
      <c r="N698" s="5"/>
      <c r="O698" s="5"/>
      <c r="X698" s="4"/>
      <c r="Y698" s="4"/>
      <c r="Z698" s="4"/>
      <c r="AA698" s="4"/>
      <c r="AB698" s="4"/>
      <c r="AC698" s="4"/>
      <c r="AD698" s="4"/>
      <c r="AE698" s="25"/>
      <c r="AF698" s="4"/>
      <c r="AG698" s="4"/>
      <c r="AH698" s="4"/>
      <c r="AI698" s="4"/>
      <c r="AM698" s="26"/>
      <c r="AN698" s="26"/>
      <c r="AO698" s="26"/>
      <c r="AP698" s="26"/>
    </row>
    <row r="699" spans="1:42" ht="12.75" customHeight="1" x14ac:dyDescent="0.2">
      <c r="A699" s="5"/>
      <c r="B699" s="5"/>
      <c r="C699" s="5"/>
      <c r="E699" s="5"/>
      <c r="F699" s="5"/>
      <c r="N699" s="5"/>
      <c r="O699" s="5"/>
      <c r="X699" s="4"/>
      <c r="Y699" s="4"/>
      <c r="Z699" s="4"/>
      <c r="AA699" s="4"/>
      <c r="AB699" s="4"/>
      <c r="AC699" s="4"/>
      <c r="AD699" s="4"/>
      <c r="AE699" s="25"/>
      <c r="AF699" s="4"/>
      <c r="AG699" s="4"/>
      <c r="AH699" s="4"/>
      <c r="AI699" s="4"/>
      <c r="AM699" s="26"/>
      <c r="AN699" s="26"/>
      <c r="AO699" s="26"/>
      <c r="AP699" s="26"/>
    </row>
    <row r="700" spans="1:42" ht="12.75" customHeight="1" x14ac:dyDescent="0.2">
      <c r="A700" s="5"/>
      <c r="B700" s="5"/>
      <c r="C700" s="5"/>
      <c r="E700" s="5"/>
      <c r="F700" s="5"/>
      <c r="N700" s="5"/>
      <c r="O700" s="5"/>
      <c r="X700" s="4"/>
      <c r="Y700" s="4"/>
      <c r="Z700" s="4"/>
      <c r="AA700" s="4"/>
      <c r="AB700" s="4"/>
      <c r="AC700" s="4"/>
      <c r="AD700" s="4"/>
      <c r="AE700" s="25"/>
      <c r="AF700" s="4"/>
      <c r="AG700" s="4"/>
      <c r="AH700" s="4"/>
      <c r="AI700" s="4"/>
      <c r="AM700" s="26"/>
      <c r="AN700" s="26"/>
      <c r="AO700" s="26"/>
      <c r="AP700" s="26"/>
    </row>
    <row r="701" spans="1:42" ht="12.75" customHeight="1" x14ac:dyDescent="0.2">
      <c r="A701" s="5"/>
      <c r="B701" s="5"/>
      <c r="C701" s="5"/>
      <c r="E701" s="5"/>
      <c r="F701" s="5"/>
      <c r="N701" s="5"/>
      <c r="O701" s="5"/>
      <c r="X701" s="4"/>
      <c r="Y701" s="4"/>
      <c r="Z701" s="4"/>
      <c r="AA701" s="4"/>
      <c r="AB701" s="4"/>
      <c r="AC701" s="4"/>
      <c r="AD701" s="4"/>
      <c r="AE701" s="25"/>
      <c r="AF701" s="4"/>
      <c r="AG701" s="4"/>
      <c r="AH701" s="4"/>
      <c r="AI701" s="4"/>
      <c r="AM701" s="26"/>
      <c r="AN701" s="26"/>
      <c r="AO701" s="26"/>
      <c r="AP701" s="26"/>
    </row>
    <row r="702" spans="1:42" ht="12.75" customHeight="1" x14ac:dyDescent="0.2">
      <c r="A702" s="5"/>
      <c r="B702" s="5"/>
      <c r="C702" s="5"/>
      <c r="E702" s="5"/>
      <c r="F702" s="5"/>
      <c r="N702" s="5"/>
      <c r="O702" s="5"/>
      <c r="X702" s="4"/>
      <c r="Y702" s="4"/>
      <c r="Z702" s="4"/>
      <c r="AA702" s="4"/>
      <c r="AB702" s="4"/>
      <c r="AC702" s="4"/>
      <c r="AD702" s="4"/>
      <c r="AE702" s="25"/>
      <c r="AF702" s="4"/>
      <c r="AG702" s="4"/>
      <c r="AH702" s="4"/>
      <c r="AI702" s="4"/>
      <c r="AM702" s="26"/>
      <c r="AN702" s="26"/>
      <c r="AO702" s="26"/>
      <c r="AP702" s="26"/>
    </row>
    <row r="703" spans="1:42" ht="12.75" customHeight="1" x14ac:dyDescent="0.2">
      <c r="A703" s="5"/>
      <c r="B703" s="5"/>
      <c r="C703" s="5"/>
      <c r="E703" s="5"/>
      <c r="F703" s="5"/>
      <c r="N703" s="5"/>
      <c r="O703" s="5"/>
      <c r="X703" s="4"/>
      <c r="Y703" s="4"/>
      <c r="Z703" s="4"/>
      <c r="AA703" s="4"/>
      <c r="AB703" s="4"/>
      <c r="AC703" s="4"/>
      <c r="AD703" s="4"/>
      <c r="AE703" s="25"/>
      <c r="AF703" s="4"/>
      <c r="AG703" s="4"/>
      <c r="AH703" s="4"/>
      <c r="AI703" s="4"/>
      <c r="AM703" s="26"/>
      <c r="AN703" s="26"/>
      <c r="AO703" s="26"/>
      <c r="AP703" s="26"/>
    </row>
    <row r="704" spans="1:42" ht="12.75" customHeight="1" x14ac:dyDescent="0.2">
      <c r="A704" s="5"/>
      <c r="B704" s="5"/>
      <c r="C704" s="5"/>
      <c r="E704" s="5"/>
      <c r="F704" s="5"/>
      <c r="N704" s="5"/>
      <c r="O704" s="5"/>
      <c r="X704" s="4"/>
      <c r="Y704" s="4"/>
      <c r="Z704" s="4"/>
      <c r="AA704" s="4"/>
      <c r="AB704" s="4"/>
      <c r="AC704" s="4"/>
      <c r="AD704" s="4"/>
      <c r="AE704" s="25"/>
      <c r="AF704" s="4"/>
      <c r="AG704" s="4"/>
      <c r="AH704" s="4"/>
      <c r="AI704" s="4"/>
      <c r="AM704" s="26"/>
      <c r="AN704" s="26"/>
      <c r="AO704" s="26"/>
      <c r="AP704" s="26"/>
    </row>
    <row r="705" spans="1:42" ht="12.75" customHeight="1" x14ac:dyDescent="0.2">
      <c r="A705" s="5"/>
      <c r="B705" s="5"/>
      <c r="C705" s="5"/>
      <c r="E705" s="5"/>
      <c r="F705" s="5"/>
      <c r="N705" s="5"/>
      <c r="O705" s="5"/>
      <c r="X705" s="4"/>
      <c r="Y705" s="4"/>
      <c r="Z705" s="4"/>
      <c r="AA705" s="4"/>
      <c r="AB705" s="4"/>
      <c r="AC705" s="4"/>
      <c r="AD705" s="4"/>
      <c r="AE705" s="25"/>
      <c r="AF705" s="4"/>
      <c r="AG705" s="4"/>
      <c r="AH705" s="4"/>
      <c r="AI705" s="4"/>
      <c r="AM705" s="26"/>
      <c r="AN705" s="26"/>
      <c r="AO705" s="26"/>
      <c r="AP705" s="26"/>
    </row>
    <row r="706" spans="1:42" ht="12.75" customHeight="1" x14ac:dyDescent="0.2">
      <c r="A706" s="5"/>
      <c r="B706" s="5"/>
      <c r="C706" s="5"/>
      <c r="E706" s="5"/>
      <c r="F706" s="5"/>
      <c r="N706" s="5"/>
      <c r="O706" s="5"/>
      <c r="X706" s="4"/>
      <c r="Y706" s="4"/>
      <c r="Z706" s="4"/>
      <c r="AA706" s="4"/>
      <c r="AB706" s="4"/>
      <c r="AC706" s="4"/>
      <c r="AD706" s="4"/>
      <c r="AE706" s="25"/>
      <c r="AF706" s="4"/>
      <c r="AG706" s="4"/>
      <c r="AH706" s="4"/>
      <c r="AI706" s="4"/>
      <c r="AM706" s="26"/>
      <c r="AN706" s="26"/>
      <c r="AO706" s="26"/>
      <c r="AP706" s="26"/>
    </row>
    <row r="707" spans="1:42" ht="12.75" customHeight="1" x14ac:dyDescent="0.2">
      <c r="A707" s="5"/>
      <c r="B707" s="5"/>
      <c r="C707" s="5"/>
      <c r="E707" s="5"/>
      <c r="F707" s="5"/>
      <c r="N707" s="5"/>
      <c r="O707" s="5"/>
      <c r="X707" s="4"/>
      <c r="Y707" s="4"/>
      <c r="Z707" s="4"/>
      <c r="AA707" s="4"/>
      <c r="AB707" s="4"/>
      <c r="AC707" s="4"/>
      <c r="AD707" s="4"/>
      <c r="AE707" s="25"/>
      <c r="AF707" s="4"/>
      <c r="AG707" s="4"/>
      <c r="AH707" s="4"/>
      <c r="AI707" s="4"/>
      <c r="AM707" s="26"/>
      <c r="AN707" s="26"/>
      <c r="AO707" s="26"/>
      <c r="AP707" s="26"/>
    </row>
    <row r="708" spans="1:42" ht="12.75" customHeight="1" x14ac:dyDescent="0.2">
      <c r="A708" s="5"/>
      <c r="B708" s="5"/>
      <c r="C708" s="5"/>
      <c r="E708" s="5"/>
      <c r="F708" s="5"/>
      <c r="N708" s="5"/>
      <c r="O708" s="5"/>
      <c r="X708" s="4"/>
      <c r="Y708" s="4"/>
      <c r="Z708" s="4"/>
      <c r="AA708" s="4"/>
      <c r="AB708" s="4"/>
      <c r="AC708" s="4"/>
      <c r="AD708" s="4"/>
      <c r="AE708" s="25"/>
      <c r="AF708" s="4"/>
      <c r="AG708" s="4"/>
      <c r="AH708" s="4"/>
      <c r="AI708" s="4"/>
      <c r="AM708" s="26"/>
      <c r="AN708" s="26"/>
      <c r="AO708" s="26"/>
      <c r="AP708" s="26"/>
    </row>
    <row r="709" spans="1:42" ht="12.75" customHeight="1" x14ac:dyDescent="0.2">
      <c r="A709" s="5"/>
      <c r="B709" s="5"/>
      <c r="C709" s="5"/>
      <c r="E709" s="5"/>
      <c r="F709" s="5"/>
      <c r="N709" s="5"/>
      <c r="O709" s="5"/>
      <c r="X709" s="4"/>
      <c r="Y709" s="4"/>
      <c r="Z709" s="4"/>
      <c r="AA709" s="4"/>
      <c r="AB709" s="4"/>
      <c r="AC709" s="4"/>
      <c r="AD709" s="4"/>
      <c r="AE709" s="25"/>
      <c r="AF709" s="4"/>
      <c r="AG709" s="4"/>
      <c r="AH709" s="4"/>
      <c r="AI709" s="4"/>
      <c r="AM709" s="26"/>
      <c r="AN709" s="26"/>
      <c r="AO709" s="26"/>
      <c r="AP709" s="26"/>
    </row>
    <row r="710" spans="1:42" ht="12.75" customHeight="1" x14ac:dyDescent="0.2">
      <c r="A710" s="5"/>
      <c r="B710" s="5"/>
      <c r="C710" s="5"/>
      <c r="E710" s="5"/>
      <c r="F710" s="5"/>
      <c r="N710" s="5"/>
      <c r="O710" s="5"/>
      <c r="X710" s="4"/>
      <c r="Y710" s="4"/>
      <c r="Z710" s="4"/>
      <c r="AA710" s="4"/>
      <c r="AB710" s="4"/>
      <c r="AC710" s="4"/>
      <c r="AD710" s="4"/>
      <c r="AE710" s="25"/>
      <c r="AF710" s="4"/>
      <c r="AG710" s="4"/>
      <c r="AH710" s="4"/>
      <c r="AI710" s="4"/>
      <c r="AM710" s="26"/>
      <c r="AN710" s="26"/>
      <c r="AO710" s="26"/>
      <c r="AP710" s="26"/>
    </row>
    <row r="711" spans="1:42" ht="12.75" customHeight="1" x14ac:dyDescent="0.2">
      <c r="A711" s="5"/>
      <c r="B711" s="5"/>
      <c r="C711" s="5"/>
      <c r="E711" s="5"/>
      <c r="F711" s="5"/>
      <c r="N711" s="5"/>
      <c r="O711" s="5"/>
      <c r="X711" s="4"/>
      <c r="Y711" s="4"/>
      <c r="Z711" s="4"/>
      <c r="AA711" s="4"/>
      <c r="AB711" s="4"/>
      <c r="AC711" s="4"/>
      <c r="AD711" s="4"/>
      <c r="AE711" s="25"/>
      <c r="AF711" s="4"/>
      <c r="AG711" s="4"/>
      <c r="AH711" s="4"/>
      <c r="AI711" s="4"/>
      <c r="AM711" s="26"/>
      <c r="AN711" s="26"/>
      <c r="AO711" s="26"/>
      <c r="AP711" s="26"/>
    </row>
    <row r="712" spans="1:42" ht="12.75" customHeight="1" x14ac:dyDescent="0.2">
      <c r="A712" s="5"/>
      <c r="B712" s="5"/>
      <c r="C712" s="5"/>
      <c r="E712" s="5"/>
      <c r="F712" s="5"/>
      <c r="N712" s="5"/>
      <c r="O712" s="5"/>
      <c r="X712" s="4"/>
      <c r="Y712" s="4"/>
      <c r="Z712" s="4"/>
      <c r="AA712" s="4"/>
      <c r="AB712" s="4"/>
      <c r="AC712" s="4"/>
      <c r="AD712" s="4"/>
      <c r="AE712" s="25"/>
      <c r="AF712" s="4"/>
      <c r="AG712" s="4"/>
      <c r="AH712" s="4"/>
      <c r="AI712" s="4"/>
      <c r="AM712" s="26"/>
      <c r="AN712" s="26"/>
      <c r="AO712" s="26"/>
      <c r="AP712" s="26"/>
    </row>
    <row r="713" spans="1:42" ht="12.75" customHeight="1" x14ac:dyDescent="0.2">
      <c r="A713" s="5"/>
      <c r="B713" s="5"/>
      <c r="C713" s="5"/>
      <c r="E713" s="5"/>
      <c r="F713" s="5"/>
      <c r="N713" s="5"/>
      <c r="O713" s="5"/>
      <c r="X713" s="4"/>
      <c r="Y713" s="4"/>
      <c r="Z713" s="4"/>
      <c r="AA713" s="4"/>
      <c r="AB713" s="4"/>
      <c r="AC713" s="4"/>
      <c r="AD713" s="4"/>
      <c r="AE713" s="25"/>
      <c r="AF713" s="4"/>
      <c r="AG713" s="4"/>
      <c r="AH713" s="4"/>
      <c r="AI713" s="4"/>
      <c r="AM713" s="26"/>
      <c r="AN713" s="26"/>
      <c r="AO713" s="26"/>
      <c r="AP713" s="26"/>
    </row>
    <row r="714" spans="1:42" ht="12.75" customHeight="1" x14ac:dyDescent="0.2">
      <c r="A714" s="5"/>
      <c r="B714" s="5"/>
      <c r="C714" s="5"/>
      <c r="E714" s="5"/>
      <c r="F714" s="5"/>
      <c r="N714" s="5"/>
      <c r="O714" s="5"/>
      <c r="X714" s="4"/>
      <c r="Y714" s="4"/>
      <c r="Z714" s="4"/>
      <c r="AA714" s="4"/>
      <c r="AB714" s="4"/>
      <c r="AC714" s="4"/>
      <c r="AD714" s="4"/>
      <c r="AE714" s="25"/>
      <c r="AF714" s="4"/>
      <c r="AG714" s="4"/>
      <c r="AH714" s="4"/>
      <c r="AI714" s="4"/>
      <c r="AM714" s="26"/>
      <c r="AN714" s="26"/>
      <c r="AO714" s="26"/>
      <c r="AP714" s="26"/>
    </row>
    <row r="715" spans="1:42" ht="12.75" customHeight="1" x14ac:dyDescent="0.2">
      <c r="A715" s="5"/>
      <c r="B715" s="5"/>
      <c r="C715" s="5"/>
      <c r="E715" s="5"/>
      <c r="F715" s="5"/>
      <c r="N715" s="5"/>
      <c r="O715" s="5"/>
      <c r="X715" s="4"/>
      <c r="Y715" s="4"/>
      <c r="Z715" s="4"/>
      <c r="AA715" s="4"/>
      <c r="AB715" s="4"/>
      <c r="AC715" s="4"/>
      <c r="AD715" s="4"/>
      <c r="AE715" s="25"/>
      <c r="AF715" s="4"/>
      <c r="AG715" s="4"/>
      <c r="AH715" s="4"/>
      <c r="AI715" s="4"/>
      <c r="AM715" s="26"/>
      <c r="AN715" s="26"/>
      <c r="AO715" s="26"/>
      <c r="AP715" s="26"/>
    </row>
    <row r="716" spans="1:42" ht="12.75" customHeight="1" x14ac:dyDescent="0.2">
      <c r="A716" s="5"/>
      <c r="B716" s="5"/>
      <c r="C716" s="5"/>
      <c r="E716" s="5"/>
      <c r="F716" s="5"/>
      <c r="N716" s="5"/>
      <c r="O716" s="5"/>
      <c r="X716" s="4"/>
      <c r="Y716" s="4"/>
      <c r="Z716" s="4"/>
      <c r="AA716" s="4"/>
      <c r="AB716" s="4"/>
      <c r="AC716" s="4"/>
      <c r="AD716" s="4"/>
      <c r="AE716" s="25"/>
      <c r="AF716" s="4"/>
      <c r="AG716" s="4"/>
      <c r="AH716" s="4"/>
      <c r="AI716" s="4"/>
      <c r="AM716" s="26"/>
      <c r="AN716" s="26"/>
      <c r="AO716" s="26"/>
      <c r="AP716" s="26"/>
    </row>
    <row r="717" spans="1:42" ht="12.75" customHeight="1" x14ac:dyDescent="0.2">
      <c r="A717" s="5"/>
      <c r="B717" s="5"/>
      <c r="C717" s="5"/>
      <c r="E717" s="5"/>
      <c r="F717" s="5"/>
      <c r="N717" s="5"/>
      <c r="O717" s="5"/>
      <c r="X717" s="4"/>
      <c r="Y717" s="4"/>
      <c r="Z717" s="4"/>
      <c r="AA717" s="4"/>
      <c r="AB717" s="4"/>
      <c r="AC717" s="4"/>
      <c r="AD717" s="4"/>
      <c r="AE717" s="25"/>
      <c r="AF717" s="4"/>
      <c r="AG717" s="4"/>
      <c r="AH717" s="4"/>
      <c r="AI717" s="4"/>
      <c r="AM717" s="26"/>
      <c r="AN717" s="26"/>
      <c r="AO717" s="26"/>
      <c r="AP717" s="26"/>
    </row>
    <row r="718" spans="1:42" ht="12.75" customHeight="1" x14ac:dyDescent="0.2">
      <c r="A718" s="5"/>
      <c r="B718" s="5"/>
      <c r="C718" s="5"/>
      <c r="E718" s="5"/>
      <c r="F718" s="5"/>
      <c r="N718" s="5"/>
      <c r="O718" s="5"/>
      <c r="X718" s="4"/>
      <c r="Y718" s="4"/>
      <c r="Z718" s="4"/>
      <c r="AA718" s="4"/>
      <c r="AB718" s="4"/>
      <c r="AC718" s="4"/>
      <c r="AD718" s="4"/>
      <c r="AE718" s="25"/>
      <c r="AF718" s="4"/>
      <c r="AG718" s="4"/>
      <c r="AH718" s="4"/>
      <c r="AI718" s="4"/>
      <c r="AM718" s="26"/>
      <c r="AN718" s="26"/>
      <c r="AO718" s="26"/>
      <c r="AP718" s="26"/>
    </row>
    <row r="719" spans="1:42" ht="12.75" customHeight="1" x14ac:dyDescent="0.2">
      <c r="A719" s="5"/>
      <c r="B719" s="5"/>
      <c r="C719" s="5"/>
      <c r="E719" s="5"/>
      <c r="F719" s="5"/>
      <c r="N719" s="5"/>
      <c r="O719" s="5"/>
      <c r="X719" s="4"/>
      <c r="Y719" s="4"/>
      <c r="Z719" s="4"/>
      <c r="AA719" s="4"/>
      <c r="AB719" s="4"/>
      <c r="AC719" s="4"/>
      <c r="AD719" s="4"/>
      <c r="AE719" s="25"/>
      <c r="AF719" s="4"/>
      <c r="AG719" s="4"/>
      <c r="AH719" s="4"/>
      <c r="AI719" s="4"/>
      <c r="AM719" s="26"/>
      <c r="AN719" s="26"/>
      <c r="AO719" s="26"/>
      <c r="AP719" s="26"/>
    </row>
    <row r="720" spans="1:42" ht="12.75" customHeight="1" x14ac:dyDescent="0.2">
      <c r="A720" s="5"/>
      <c r="B720" s="5"/>
      <c r="C720" s="5"/>
      <c r="E720" s="5"/>
      <c r="F720" s="5"/>
      <c r="N720" s="5"/>
      <c r="O720" s="5"/>
      <c r="X720" s="4"/>
      <c r="Y720" s="4"/>
      <c r="Z720" s="4"/>
      <c r="AA720" s="4"/>
      <c r="AB720" s="4"/>
      <c r="AC720" s="4"/>
      <c r="AD720" s="4"/>
      <c r="AE720" s="25"/>
      <c r="AF720" s="4"/>
      <c r="AG720" s="4"/>
      <c r="AH720" s="4"/>
      <c r="AI720" s="4"/>
      <c r="AM720" s="26"/>
      <c r="AN720" s="26"/>
      <c r="AO720" s="26"/>
      <c r="AP720" s="26"/>
    </row>
    <row r="721" spans="1:42" ht="12.75" customHeight="1" x14ac:dyDescent="0.2">
      <c r="A721" s="5"/>
      <c r="B721" s="5"/>
      <c r="C721" s="5"/>
      <c r="E721" s="5"/>
      <c r="F721" s="5"/>
      <c r="N721" s="5"/>
      <c r="O721" s="5"/>
      <c r="X721" s="4"/>
      <c r="Y721" s="4"/>
      <c r="Z721" s="4"/>
      <c r="AA721" s="4"/>
      <c r="AB721" s="4"/>
      <c r="AC721" s="4"/>
      <c r="AD721" s="4"/>
      <c r="AE721" s="25"/>
      <c r="AF721" s="4"/>
      <c r="AG721" s="4"/>
      <c r="AH721" s="4"/>
      <c r="AI721" s="4"/>
      <c r="AM721" s="26"/>
      <c r="AN721" s="26"/>
      <c r="AO721" s="26"/>
      <c r="AP721" s="26"/>
    </row>
    <row r="722" spans="1:42" ht="12.75" customHeight="1" x14ac:dyDescent="0.2">
      <c r="A722" s="5"/>
      <c r="B722" s="5"/>
      <c r="C722" s="5"/>
      <c r="E722" s="5"/>
      <c r="F722" s="5"/>
      <c r="N722" s="5"/>
      <c r="O722" s="5"/>
      <c r="X722" s="4"/>
      <c r="Y722" s="4"/>
      <c r="Z722" s="4"/>
      <c r="AA722" s="4"/>
      <c r="AB722" s="4"/>
      <c r="AC722" s="4"/>
      <c r="AD722" s="4"/>
      <c r="AE722" s="25"/>
      <c r="AF722" s="4"/>
      <c r="AG722" s="4"/>
      <c r="AH722" s="4"/>
      <c r="AI722" s="4"/>
      <c r="AM722" s="26"/>
      <c r="AN722" s="26"/>
      <c r="AO722" s="26"/>
      <c r="AP722" s="26"/>
    </row>
    <row r="723" spans="1:42" ht="12.75" customHeight="1" x14ac:dyDescent="0.2">
      <c r="A723" s="5"/>
      <c r="B723" s="5"/>
      <c r="C723" s="5"/>
      <c r="E723" s="5"/>
      <c r="F723" s="5"/>
      <c r="N723" s="5"/>
      <c r="O723" s="5"/>
      <c r="X723" s="4"/>
      <c r="Y723" s="4"/>
      <c r="Z723" s="4"/>
      <c r="AA723" s="4"/>
      <c r="AB723" s="4"/>
      <c r="AC723" s="4"/>
      <c r="AD723" s="4"/>
      <c r="AE723" s="25"/>
      <c r="AF723" s="4"/>
      <c r="AG723" s="4"/>
      <c r="AH723" s="4"/>
      <c r="AI723" s="4"/>
      <c r="AM723" s="26"/>
      <c r="AN723" s="26"/>
      <c r="AO723" s="26"/>
      <c r="AP723" s="26"/>
    </row>
    <row r="724" spans="1:42" ht="12.75" customHeight="1" x14ac:dyDescent="0.2">
      <c r="A724" s="5"/>
      <c r="B724" s="5"/>
      <c r="C724" s="5"/>
      <c r="E724" s="5"/>
      <c r="F724" s="5"/>
      <c r="N724" s="5"/>
      <c r="O724" s="5"/>
      <c r="X724" s="4"/>
      <c r="Y724" s="4"/>
      <c r="Z724" s="4"/>
      <c r="AA724" s="4"/>
      <c r="AB724" s="4"/>
      <c r="AC724" s="4"/>
      <c r="AD724" s="4"/>
      <c r="AE724" s="25"/>
      <c r="AF724" s="4"/>
      <c r="AG724" s="4"/>
      <c r="AH724" s="4"/>
      <c r="AI724" s="4"/>
      <c r="AM724" s="26"/>
      <c r="AN724" s="26"/>
      <c r="AO724" s="26"/>
      <c r="AP724" s="26"/>
    </row>
    <row r="725" spans="1:42" ht="12.75" customHeight="1" x14ac:dyDescent="0.2">
      <c r="A725" s="5"/>
      <c r="B725" s="5"/>
      <c r="C725" s="5"/>
      <c r="E725" s="5"/>
      <c r="F725" s="5"/>
      <c r="N725" s="5"/>
      <c r="O725" s="5"/>
      <c r="X725" s="4"/>
      <c r="Y725" s="4"/>
      <c r="Z725" s="4"/>
      <c r="AA725" s="4"/>
      <c r="AB725" s="4"/>
      <c r="AC725" s="4"/>
      <c r="AD725" s="4"/>
      <c r="AE725" s="25"/>
      <c r="AF725" s="4"/>
      <c r="AG725" s="4"/>
      <c r="AH725" s="4"/>
      <c r="AI725" s="4"/>
      <c r="AM725" s="26"/>
      <c r="AN725" s="26"/>
      <c r="AO725" s="26"/>
      <c r="AP725" s="26"/>
    </row>
    <row r="726" spans="1:42" ht="12.75" customHeight="1" x14ac:dyDescent="0.2">
      <c r="A726" s="5"/>
      <c r="B726" s="5"/>
      <c r="C726" s="5"/>
      <c r="E726" s="5"/>
      <c r="F726" s="5"/>
      <c r="N726" s="5"/>
      <c r="O726" s="5"/>
      <c r="X726" s="4"/>
      <c r="Y726" s="4"/>
      <c r="Z726" s="4"/>
      <c r="AA726" s="4"/>
      <c r="AB726" s="4"/>
      <c r="AC726" s="4"/>
      <c r="AD726" s="4"/>
      <c r="AE726" s="25"/>
      <c r="AF726" s="4"/>
      <c r="AG726" s="4"/>
      <c r="AH726" s="4"/>
      <c r="AI726" s="4"/>
      <c r="AM726" s="26"/>
      <c r="AN726" s="26"/>
      <c r="AO726" s="26"/>
      <c r="AP726" s="26"/>
    </row>
    <row r="727" spans="1:42" ht="12.75" customHeight="1" x14ac:dyDescent="0.2">
      <c r="A727" s="5"/>
      <c r="B727" s="5"/>
      <c r="C727" s="5"/>
      <c r="E727" s="5"/>
      <c r="F727" s="5"/>
      <c r="N727" s="5"/>
      <c r="O727" s="5"/>
      <c r="X727" s="4"/>
      <c r="Y727" s="4"/>
      <c r="Z727" s="4"/>
      <c r="AA727" s="4"/>
      <c r="AB727" s="4"/>
      <c r="AC727" s="4"/>
      <c r="AD727" s="4"/>
      <c r="AE727" s="25"/>
      <c r="AF727" s="4"/>
      <c r="AG727" s="4"/>
      <c r="AH727" s="4"/>
      <c r="AI727" s="4"/>
      <c r="AM727" s="26"/>
      <c r="AN727" s="26"/>
      <c r="AO727" s="26"/>
      <c r="AP727" s="26"/>
    </row>
    <row r="728" spans="1:42" ht="12.75" customHeight="1" x14ac:dyDescent="0.2">
      <c r="A728" s="5"/>
      <c r="B728" s="5"/>
      <c r="C728" s="5"/>
      <c r="E728" s="5"/>
      <c r="F728" s="5"/>
      <c r="N728" s="5"/>
      <c r="O728" s="5"/>
      <c r="X728" s="4"/>
      <c r="Y728" s="4"/>
      <c r="Z728" s="4"/>
      <c r="AA728" s="4"/>
      <c r="AB728" s="4"/>
      <c r="AC728" s="4"/>
      <c r="AD728" s="4"/>
      <c r="AE728" s="25"/>
      <c r="AF728" s="4"/>
      <c r="AG728" s="4"/>
      <c r="AH728" s="4"/>
      <c r="AI728" s="4"/>
      <c r="AM728" s="26"/>
      <c r="AN728" s="26"/>
      <c r="AO728" s="26"/>
      <c r="AP728" s="26"/>
    </row>
    <row r="729" spans="1:42" ht="12.75" customHeight="1" x14ac:dyDescent="0.2">
      <c r="A729" s="5"/>
      <c r="B729" s="5"/>
      <c r="C729" s="5"/>
      <c r="E729" s="5"/>
      <c r="F729" s="5"/>
      <c r="N729" s="5"/>
      <c r="O729" s="5"/>
      <c r="X729" s="4"/>
      <c r="Y729" s="4"/>
      <c r="Z729" s="4"/>
      <c r="AA729" s="4"/>
      <c r="AB729" s="4"/>
      <c r="AC729" s="4"/>
      <c r="AD729" s="4"/>
      <c r="AE729" s="25"/>
      <c r="AF729" s="4"/>
      <c r="AG729" s="4"/>
      <c r="AH729" s="4"/>
      <c r="AI729" s="4"/>
      <c r="AM729" s="26"/>
      <c r="AN729" s="26"/>
      <c r="AO729" s="26"/>
      <c r="AP729" s="26"/>
    </row>
    <row r="730" spans="1:42" ht="12.75" customHeight="1" x14ac:dyDescent="0.2">
      <c r="A730" s="5"/>
      <c r="B730" s="5"/>
      <c r="C730" s="5"/>
      <c r="E730" s="5"/>
      <c r="F730" s="5"/>
      <c r="N730" s="5"/>
      <c r="O730" s="5"/>
      <c r="X730" s="4"/>
      <c r="Y730" s="4"/>
      <c r="Z730" s="4"/>
      <c r="AA730" s="4"/>
      <c r="AB730" s="4"/>
      <c r="AC730" s="4"/>
      <c r="AD730" s="4"/>
      <c r="AE730" s="25"/>
      <c r="AF730" s="4"/>
      <c r="AG730" s="4"/>
      <c r="AH730" s="4"/>
      <c r="AI730" s="4"/>
      <c r="AM730" s="26"/>
      <c r="AN730" s="26"/>
      <c r="AO730" s="26"/>
      <c r="AP730" s="26"/>
    </row>
    <row r="731" spans="1:42" ht="12.75" customHeight="1" x14ac:dyDescent="0.2">
      <c r="A731" s="5"/>
      <c r="B731" s="5"/>
      <c r="C731" s="5"/>
      <c r="E731" s="5"/>
      <c r="F731" s="5"/>
      <c r="N731" s="5"/>
      <c r="O731" s="5"/>
      <c r="X731" s="4"/>
      <c r="Y731" s="4"/>
      <c r="Z731" s="4"/>
      <c r="AA731" s="4"/>
      <c r="AB731" s="4"/>
      <c r="AC731" s="4"/>
      <c r="AD731" s="4"/>
      <c r="AE731" s="25"/>
      <c r="AF731" s="4"/>
      <c r="AG731" s="4"/>
      <c r="AH731" s="4"/>
      <c r="AI731" s="4"/>
      <c r="AM731" s="26"/>
      <c r="AN731" s="26"/>
      <c r="AO731" s="26"/>
      <c r="AP731" s="26"/>
    </row>
    <row r="732" spans="1:42" ht="12.75" customHeight="1" x14ac:dyDescent="0.2">
      <c r="A732" s="5"/>
      <c r="B732" s="5"/>
      <c r="C732" s="5"/>
      <c r="E732" s="5"/>
      <c r="F732" s="5"/>
      <c r="N732" s="5"/>
      <c r="O732" s="5"/>
      <c r="X732" s="4"/>
      <c r="Y732" s="4"/>
      <c r="Z732" s="4"/>
      <c r="AA732" s="4"/>
      <c r="AB732" s="4"/>
      <c r="AC732" s="4"/>
      <c r="AD732" s="4"/>
      <c r="AE732" s="25"/>
      <c r="AF732" s="4"/>
      <c r="AG732" s="4"/>
      <c r="AH732" s="4"/>
      <c r="AI732" s="4"/>
      <c r="AM732" s="26"/>
      <c r="AN732" s="26"/>
      <c r="AO732" s="26"/>
      <c r="AP732" s="26"/>
    </row>
    <row r="733" spans="1:42" ht="12.75" customHeight="1" x14ac:dyDescent="0.2">
      <c r="A733" s="5"/>
      <c r="B733" s="5"/>
      <c r="C733" s="5"/>
      <c r="E733" s="5"/>
      <c r="F733" s="5"/>
      <c r="N733" s="5"/>
      <c r="O733" s="5"/>
      <c r="X733" s="4"/>
      <c r="Y733" s="4"/>
      <c r="Z733" s="4"/>
      <c r="AA733" s="4"/>
      <c r="AB733" s="4"/>
      <c r="AC733" s="4"/>
      <c r="AD733" s="4"/>
      <c r="AE733" s="25"/>
      <c r="AF733" s="4"/>
      <c r="AG733" s="4"/>
      <c r="AH733" s="4"/>
      <c r="AI733" s="4"/>
      <c r="AM733" s="26"/>
      <c r="AN733" s="26"/>
      <c r="AO733" s="26"/>
      <c r="AP733" s="26"/>
    </row>
    <row r="734" spans="1:42" ht="12.75" customHeight="1" x14ac:dyDescent="0.2">
      <c r="A734" s="5"/>
      <c r="B734" s="5"/>
      <c r="C734" s="5"/>
      <c r="E734" s="5"/>
      <c r="F734" s="5"/>
      <c r="N734" s="5"/>
      <c r="O734" s="5"/>
      <c r="X734" s="4"/>
      <c r="Y734" s="4"/>
      <c r="Z734" s="4"/>
      <c r="AA734" s="4"/>
      <c r="AB734" s="4"/>
      <c r="AC734" s="4"/>
      <c r="AD734" s="4"/>
      <c r="AE734" s="25"/>
      <c r="AF734" s="4"/>
      <c r="AG734" s="4"/>
      <c r="AH734" s="4"/>
      <c r="AI734" s="4"/>
      <c r="AM734" s="26"/>
      <c r="AN734" s="26"/>
      <c r="AO734" s="26"/>
      <c r="AP734" s="26"/>
    </row>
    <row r="735" spans="1:42" ht="12.75" customHeight="1" x14ac:dyDescent="0.2">
      <c r="A735" s="5"/>
      <c r="B735" s="5"/>
      <c r="C735" s="5"/>
      <c r="E735" s="5"/>
      <c r="F735" s="5"/>
      <c r="N735" s="5"/>
      <c r="O735" s="5"/>
      <c r="X735" s="4"/>
      <c r="Y735" s="4"/>
      <c r="Z735" s="4"/>
      <c r="AA735" s="4"/>
      <c r="AB735" s="4"/>
      <c r="AC735" s="4"/>
      <c r="AD735" s="4"/>
      <c r="AE735" s="25"/>
      <c r="AF735" s="4"/>
      <c r="AG735" s="4"/>
      <c r="AH735" s="4"/>
      <c r="AI735" s="4"/>
      <c r="AM735" s="26"/>
      <c r="AN735" s="26"/>
      <c r="AO735" s="26"/>
      <c r="AP735" s="26"/>
    </row>
    <row r="736" spans="1:42" ht="12.75" customHeight="1" x14ac:dyDescent="0.2">
      <c r="A736" s="5"/>
      <c r="B736" s="5"/>
      <c r="C736" s="5"/>
      <c r="E736" s="5"/>
      <c r="F736" s="5"/>
      <c r="N736" s="5"/>
      <c r="O736" s="5"/>
      <c r="X736" s="4"/>
      <c r="Y736" s="4"/>
      <c r="Z736" s="4"/>
      <c r="AA736" s="4"/>
      <c r="AB736" s="4"/>
      <c r="AC736" s="4"/>
      <c r="AD736" s="4"/>
      <c r="AE736" s="25"/>
      <c r="AF736" s="4"/>
      <c r="AG736" s="4"/>
      <c r="AH736" s="4"/>
      <c r="AI736" s="4"/>
      <c r="AM736" s="26"/>
      <c r="AN736" s="26"/>
      <c r="AO736" s="26"/>
      <c r="AP736" s="26"/>
    </row>
    <row r="737" spans="1:42" ht="12.75" customHeight="1" x14ac:dyDescent="0.2">
      <c r="A737" s="5"/>
      <c r="B737" s="5"/>
      <c r="C737" s="5"/>
      <c r="E737" s="5"/>
      <c r="F737" s="5"/>
      <c r="N737" s="5"/>
      <c r="O737" s="5"/>
      <c r="X737" s="4"/>
      <c r="Y737" s="4"/>
      <c r="Z737" s="4"/>
      <c r="AA737" s="4"/>
      <c r="AB737" s="4"/>
      <c r="AC737" s="4"/>
      <c r="AD737" s="4"/>
      <c r="AE737" s="25"/>
      <c r="AF737" s="4"/>
      <c r="AG737" s="4"/>
      <c r="AH737" s="4"/>
      <c r="AI737" s="4"/>
      <c r="AM737" s="26"/>
      <c r="AN737" s="26"/>
      <c r="AO737" s="26"/>
      <c r="AP737" s="26"/>
    </row>
    <row r="738" spans="1:42" ht="12.75" customHeight="1" x14ac:dyDescent="0.2">
      <c r="A738" s="5"/>
      <c r="B738" s="5"/>
      <c r="C738" s="5"/>
      <c r="E738" s="5"/>
      <c r="F738" s="5"/>
      <c r="N738" s="5"/>
      <c r="O738" s="5"/>
      <c r="X738" s="4"/>
      <c r="Y738" s="4"/>
      <c r="Z738" s="4"/>
      <c r="AA738" s="4"/>
      <c r="AB738" s="4"/>
      <c r="AC738" s="4"/>
      <c r="AD738" s="4"/>
      <c r="AE738" s="25"/>
      <c r="AF738" s="4"/>
      <c r="AG738" s="4"/>
      <c r="AH738" s="4"/>
      <c r="AI738" s="4"/>
      <c r="AM738" s="26"/>
      <c r="AN738" s="26"/>
      <c r="AO738" s="26"/>
      <c r="AP738" s="26"/>
    </row>
    <row r="739" spans="1:42" ht="12.75" customHeight="1" x14ac:dyDescent="0.2">
      <c r="A739" s="5"/>
      <c r="B739" s="5"/>
      <c r="C739" s="5"/>
      <c r="E739" s="5"/>
      <c r="F739" s="5"/>
      <c r="N739" s="5"/>
      <c r="O739" s="5"/>
      <c r="X739" s="4"/>
      <c r="Y739" s="4"/>
      <c r="Z739" s="4"/>
      <c r="AA739" s="4"/>
      <c r="AB739" s="4"/>
      <c r="AC739" s="4"/>
      <c r="AD739" s="4"/>
      <c r="AE739" s="25"/>
      <c r="AF739" s="4"/>
      <c r="AG739" s="4"/>
      <c r="AH739" s="4"/>
      <c r="AI739" s="4"/>
      <c r="AM739" s="26"/>
      <c r="AN739" s="26"/>
      <c r="AO739" s="26"/>
      <c r="AP739" s="26"/>
    </row>
    <row r="740" spans="1:42" ht="12.75" customHeight="1" x14ac:dyDescent="0.2">
      <c r="A740" s="5"/>
      <c r="B740" s="5"/>
      <c r="C740" s="5"/>
      <c r="E740" s="5"/>
      <c r="F740" s="5"/>
      <c r="N740" s="5"/>
      <c r="O740" s="5"/>
      <c r="X740" s="4"/>
      <c r="Y740" s="4"/>
      <c r="Z740" s="4"/>
      <c r="AA740" s="4"/>
      <c r="AB740" s="4"/>
      <c r="AC740" s="4"/>
      <c r="AD740" s="4"/>
      <c r="AE740" s="25"/>
      <c r="AF740" s="4"/>
      <c r="AG740" s="4"/>
      <c r="AH740" s="4"/>
      <c r="AI740" s="4"/>
      <c r="AM740" s="26"/>
      <c r="AN740" s="26"/>
      <c r="AO740" s="26"/>
      <c r="AP740" s="26"/>
    </row>
    <row r="741" spans="1:42" ht="12.75" customHeight="1" x14ac:dyDescent="0.2">
      <c r="A741" s="5"/>
      <c r="B741" s="5"/>
      <c r="C741" s="5"/>
      <c r="E741" s="5"/>
      <c r="F741" s="5"/>
      <c r="N741" s="5"/>
      <c r="O741" s="5"/>
      <c r="X741" s="4"/>
      <c r="Y741" s="4"/>
      <c r="Z741" s="4"/>
      <c r="AA741" s="4"/>
      <c r="AB741" s="4"/>
      <c r="AC741" s="4"/>
      <c r="AD741" s="4"/>
      <c r="AE741" s="25"/>
      <c r="AF741" s="4"/>
      <c r="AG741" s="4"/>
      <c r="AH741" s="4"/>
      <c r="AI741" s="4"/>
      <c r="AM741" s="26"/>
      <c r="AN741" s="26"/>
      <c r="AO741" s="26"/>
      <c r="AP741" s="26"/>
    </row>
    <row r="742" spans="1:42" ht="12.75" customHeight="1" x14ac:dyDescent="0.2">
      <c r="A742" s="5"/>
      <c r="B742" s="5"/>
      <c r="C742" s="5"/>
      <c r="E742" s="5"/>
      <c r="F742" s="5"/>
      <c r="N742" s="5"/>
      <c r="O742" s="5"/>
      <c r="X742" s="4"/>
      <c r="Y742" s="4"/>
      <c r="Z742" s="4"/>
      <c r="AA742" s="4"/>
      <c r="AB742" s="4"/>
      <c r="AC742" s="4"/>
      <c r="AD742" s="4"/>
      <c r="AE742" s="25"/>
      <c r="AF742" s="4"/>
      <c r="AG742" s="4"/>
      <c r="AH742" s="4"/>
      <c r="AI742" s="4"/>
      <c r="AM742" s="26"/>
      <c r="AN742" s="26"/>
      <c r="AO742" s="26"/>
      <c r="AP742" s="26"/>
    </row>
    <row r="743" spans="1:42" ht="12.75" customHeight="1" x14ac:dyDescent="0.2">
      <c r="A743" s="5"/>
      <c r="B743" s="5"/>
      <c r="C743" s="5"/>
      <c r="E743" s="5"/>
      <c r="F743" s="5"/>
      <c r="N743" s="5"/>
      <c r="O743" s="5"/>
      <c r="X743" s="4"/>
      <c r="Y743" s="4"/>
      <c r="Z743" s="4"/>
      <c r="AA743" s="4"/>
      <c r="AB743" s="4"/>
      <c r="AC743" s="4"/>
      <c r="AD743" s="4"/>
      <c r="AE743" s="25"/>
      <c r="AF743" s="4"/>
      <c r="AG743" s="4"/>
      <c r="AH743" s="4"/>
      <c r="AI743" s="4"/>
      <c r="AM743" s="26"/>
      <c r="AN743" s="26"/>
      <c r="AO743" s="26"/>
      <c r="AP743" s="26"/>
    </row>
    <row r="744" spans="1:42" ht="12.75" customHeight="1" x14ac:dyDescent="0.2">
      <c r="A744" s="5"/>
      <c r="B744" s="5"/>
      <c r="C744" s="5"/>
      <c r="E744" s="5"/>
      <c r="F744" s="5"/>
      <c r="N744" s="5"/>
      <c r="O744" s="5"/>
      <c r="X744" s="4"/>
      <c r="Y744" s="4"/>
      <c r="Z744" s="4"/>
      <c r="AA744" s="4"/>
      <c r="AB744" s="4"/>
      <c r="AC744" s="4"/>
      <c r="AD744" s="4"/>
      <c r="AE744" s="25"/>
      <c r="AF744" s="4"/>
      <c r="AG744" s="4"/>
      <c r="AH744" s="4"/>
      <c r="AI744" s="4"/>
      <c r="AM744" s="26"/>
      <c r="AN744" s="26"/>
      <c r="AO744" s="26"/>
      <c r="AP744" s="26"/>
    </row>
    <row r="745" spans="1:42" ht="12.75" customHeight="1" x14ac:dyDescent="0.2">
      <c r="A745" s="5"/>
      <c r="B745" s="5"/>
      <c r="C745" s="5"/>
      <c r="E745" s="5"/>
      <c r="F745" s="5"/>
      <c r="N745" s="5"/>
      <c r="O745" s="5"/>
      <c r="X745" s="4"/>
      <c r="Y745" s="4"/>
      <c r="Z745" s="4"/>
      <c r="AA745" s="4"/>
      <c r="AB745" s="4"/>
      <c r="AC745" s="4"/>
      <c r="AD745" s="4"/>
      <c r="AE745" s="25"/>
      <c r="AF745" s="4"/>
      <c r="AG745" s="4"/>
      <c r="AH745" s="4"/>
      <c r="AI745" s="4"/>
      <c r="AM745" s="26"/>
      <c r="AN745" s="26"/>
      <c r="AO745" s="26"/>
      <c r="AP745" s="26"/>
    </row>
    <row r="746" spans="1:42" ht="12.75" customHeight="1" x14ac:dyDescent="0.2">
      <c r="A746" s="5"/>
      <c r="B746" s="5"/>
      <c r="C746" s="5"/>
      <c r="E746" s="5"/>
      <c r="F746" s="5"/>
      <c r="N746" s="5"/>
      <c r="O746" s="5"/>
      <c r="X746" s="4"/>
      <c r="Y746" s="4"/>
      <c r="Z746" s="4"/>
      <c r="AA746" s="4"/>
      <c r="AB746" s="4"/>
      <c r="AC746" s="4"/>
      <c r="AD746" s="4"/>
      <c r="AE746" s="25"/>
      <c r="AF746" s="4"/>
      <c r="AG746" s="4"/>
      <c r="AH746" s="4"/>
      <c r="AI746" s="4"/>
      <c r="AM746" s="26"/>
      <c r="AN746" s="26"/>
      <c r="AO746" s="26"/>
      <c r="AP746" s="26"/>
    </row>
    <row r="747" spans="1:42" ht="12.75" customHeight="1" x14ac:dyDescent="0.2">
      <c r="A747" s="5"/>
      <c r="B747" s="5"/>
      <c r="C747" s="5"/>
      <c r="E747" s="5"/>
      <c r="F747" s="5"/>
      <c r="N747" s="5"/>
      <c r="O747" s="5"/>
      <c r="X747" s="4"/>
      <c r="Y747" s="4"/>
      <c r="Z747" s="4"/>
      <c r="AA747" s="4"/>
      <c r="AB747" s="4"/>
      <c r="AC747" s="4"/>
      <c r="AD747" s="4"/>
      <c r="AE747" s="25"/>
      <c r="AF747" s="4"/>
      <c r="AG747" s="4"/>
      <c r="AH747" s="4"/>
      <c r="AI747" s="4"/>
      <c r="AM747" s="26"/>
      <c r="AN747" s="26"/>
      <c r="AO747" s="26"/>
      <c r="AP747" s="26"/>
    </row>
    <row r="748" spans="1:42" ht="12.75" customHeight="1" x14ac:dyDescent="0.2">
      <c r="A748" s="5"/>
      <c r="B748" s="5"/>
      <c r="C748" s="5"/>
      <c r="E748" s="5"/>
      <c r="F748" s="5"/>
      <c r="N748" s="5"/>
      <c r="O748" s="5"/>
      <c r="X748" s="4"/>
      <c r="Y748" s="4"/>
      <c r="Z748" s="4"/>
      <c r="AA748" s="4"/>
      <c r="AB748" s="4"/>
      <c r="AC748" s="4"/>
      <c r="AD748" s="4"/>
      <c r="AE748" s="25"/>
      <c r="AF748" s="4"/>
      <c r="AG748" s="4"/>
      <c r="AH748" s="4"/>
      <c r="AI748" s="4"/>
      <c r="AM748" s="26"/>
      <c r="AN748" s="26"/>
      <c r="AO748" s="26"/>
      <c r="AP748" s="26"/>
    </row>
    <row r="749" spans="1:42" ht="12.75" customHeight="1" x14ac:dyDescent="0.2">
      <c r="A749" s="5"/>
      <c r="B749" s="5"/>
      <c r="C749" s="5"/>
      <c r="E749" s="5"/>
      <c r="F749" s="5"/>
      <c r="N749" s="5"/>
      <c r="O749" s="5"/>
      <c r="X749" s="4"/>
      <c r="Y749" s="4"/>
      <c r="Z749" s="4"/>
      <c r="AA749" s="4"/>
      <c r="AB749" s="4"/>
      <c r="AC749" s="4"/>
      <c r="AD749" s="4"/>
      <c r="AE749" s="25"/>
      <c r="AF749" s="4"/>
      <c r="AG749" s="4"/>
      <c r="AH749" s="4"/>
      <c r="AI749" s="4"/>
      <c r="AM749" s="26"/>
      <c r="AN749" s="26"/>
      <c r="AO749" s="26"/>
      <c r="AP749" s="26"/>
    </row>
    <row r="750" spans="1:42" ht="12.75" customHeight="1" x14ac:dyDescent="0.2">
      <c r="A750" s="5"/>
      <c r="B750" s="5"/>
      <c r="C750" s="5"/>
      <c r="E750" s="5"/>
      <c r="F750" s="5"/>
      <c r="N750" s="5"/>
      <c r="O750" s="5"/>
      <c r="X750" s="4"/>
      <c r="Y750" s="4"/>
      <c r="Z750" s="4"/>
      <c r="AA750" s="4"/>
      <c r="AB750" s="4"/>
      <c r="AC750" s="4"/>
      <c r="AD750" s="4"/>
      <c r="AE750" s="25"/>
      <c r="AF750" s="4"/>
      <c r="AG750" s="4"/>
      <c r="AH750" s="4"/>
      <c r="AI750" s="4"/>
      <c r="AM750" s="26"/>
      <c r="AN750" s="26"/>
      <c r="AO750" s="26"/>
      <c r="AP750" s="26"/>
    </row>
    <row r="751" spans="1:42" ht="12.75" customHeight="1" x14ac:dyDescent="0.2">
      <c r="A751" s="5"/>
      <c r="B751" s="5"/>
      <c r="C751" s="5"/>
      <c r="E751" s="5"/>
      <c r="F751" s="5"/>
      <c r="N751" s="5"/>
      <c r="O751" s="5"/>
      <c r="X751" s="4"/>
      <c r="Y751" s="4"/>
      <c r="Z751" s="4"/>
      <c r="AA751" s="4"/>
      <c r="AB751" s="4"/>
      <c r="AC751" s="4"/>
      <c r="AD751" s="4"/>
      <c r="AE751" s="25"/>
      <c r="AF751" s="4"/>
      <c r="AG751" s="4"/>
      <c r="AH751" s="4"/>
      <c r="AI751" s="4"/>
      <c r="AM751" s="26"/>
      <c r="AN751" s="26"/>
      <c r="AO751" s="26"/>
      <c r="AP751" s="26"/>
    </row>
    <row r="752" spans="1:42" ht="12.75" customHeight="1" x14ac:dyDescent="0.2">
      <c r="A752" s="5"/>
      <c r="B752" s="5"/>
      <c r="C752" s="5"/>
      <c r="E752" s="5"/>
      <c r="F752" s="5"/>
      <c r="N752" s="5"/>
      <c r="O752" s="5"/>
      <c r="X752" s="4"/>
      <c r="Y752" s="4"/>
      <c r="Z752" s="4"/>
      <c r="AA752" s="4"/>
      <c r="AB752" s="4"/>
      <c r="AC752" s="4"/>
      <c r="AD752" s="4"/>
      <c r="AE752" s="25"/>
      <c r="AF752" s="4"/>
      <c r="AG752" s="4"/>
      <c r="AH752" s="4"/>
      <c r="AI752" s="4"/>
      <c r="AM752" s="26"/>
      <c r="AN752" s="26"/>
      <c r="AO752" s="26"/>
      <c r="AP752" s="26"/>
    </row>
    <row r="753" spans="1:42" ht="12.75" customHeight="1" x14ac:dyDescent="0.2">
      <c r="A753" s="5"/>
      <c r="B753" s="5"/>
      <c r="C753" s="5"/>
      <c r="E753" s="5"/>
      <c r="F753" s="5"/>
      <c r="N753" s="5"/>
      <c r="O753" s="5"/>
      <c r="X753" s="4"/>
      <c r="Y753" s="4"/>
      <c r="Z753" s="4"/>
      <c r="AA753" s="4"/>
      <c r="AB753" s="4"/>
      <c r="AC753" s="4"/>
      <c r="AD753" s="4"/>
      <c r="AE753" s="25"/>
      <c r="AF753" s="4"/>
      <c r="AG753" s="4"/>
      <c r="AH753" s="4"/>
      <c r="AI753" s="4"/>
      <c r="AM753" s="26"/>
      <c r="AN753" s="26"/>
      <c r="AO753" s="26"/>
      <c r="AP753" s="26"/>
    </row>
    <row r="754" spans="1:42" ht="12.75" customHeight="1" x14ac:dyDescent="0.2">
      <c r="A754" s="5"/>
      <c r="B754" s="5"/>
      <c r="C754" s="5"/>
      <c r="E754" s="5"/>
      <c r="F754" s="5"/>
      <c r="N754" s="5"/>
      <c r="O754" s="5"/>
      <c r="X754" s="4"/>
      <c r="Y754" s="4"/>
      <c r="Z754" s="4"/>
      <c r="AA754" s="4"/>
      <c r="AB754" s="4"/>
      <c r="AC754" s="4"/>
      <c r="AD754" s="4"/>
      <c r="AE754" s="25"/>
      <c r="AF754" s="4"/>
      <c r="AG754" s="4"/>
      <c r="AH754" s="4"/>
      <c r="AI754" s="4"/>
      <c r="AM754" s="26"/>
      <c r="AN754" s="26"/>
      <c r="AO754" s="26"/>
      <c r="AP754" s="26"/>
    </row>
    <row r="755" spans="1:42" ht="12.75" customHeight="1" x14ac:dyDescent="0.2">
      <c r="A755" s="5"/>
      <c r="B755" s="5"/>
      <c r="C755" s="5"/>
      <c r="E755" s="5"/>
      <c r="F755" s="5"/>
      <c r="N755" s="5"/>
      <c r="O755" s="5"/>
      <c r="X755" s="4"/>
      <c r="Y755" s="4"/>
      <c r="Z755" s="4"/>
      <c r="AA755" s="4"/>
      <c r="AB755" s="4"/>
      <c r="AC755" s="4"/>
      <c r="AD755" s="4"/>
      <c r="AE755" s="25"/>
      <c r="AF755" s="4"/>
      <c r="AG755" s="4"/>
      <c r="AH755" s="4"/>
      <c r="AI755" s="4"/>
      <c r="AM755" s="26"/>
      <c r="AN755" s="26"/>
      <c r="AO755" s="26"/>
      <c r="AP755" s="26"/>
    </row>
    <row r="756" spans="1:42" ht="12.75" customHeight="1" x14ac:dyDescent="0.2">
      <c r="A756" s="5"/>
      <c r="B756" s="5"/>
      <c r="C756" s="5"/>
      <c r="E756" s="5"/>
      <c r="F756" s="5"/>
      <c r="N756" s="5"/>
      <c r="O756" s="5"/>
      <c r="X756" s="4"/>
      <c r="Y756" s="4"/>
      <c r="Z756" s="4"/>
      <c r="AA756" s="4"/>
      <c r="AB756" s="4"/>
      <c r="AC756" s="4"/>
      <c r="AD756" s="4"/>
      <c r="AE756" s="25"/>
      <c r="AF756" s="4"/>
      <c r="AG756" s="4"/>
      <c r="AH756" s="4"/>
      <c r="AI756" s="4"/>
      <c r="AM756" s="26"/>
      <c r="AN756" s="26"/>
      <c r="AO756" s="26"/>
      <c r="AP756" s="26"/>
    </row>
    <row r="757" spans="1:42" ht="12.75" customHeight="1" x14ac:dyDescent="0.2">
      <c r="A757" s="5"/>
      <c r="B757" s="5"/>
      <c r="C757" s="5"/>
      <c r="E757" s="5"/>
      <c r="F757" s="5"/>
      <c r="N757" s="5"/>
      <c r="O757" s="5"/>
      <c r="X757" s="4"/>
      <c r="Y757" s="4"/>
      <c r="Z757" s="4"/>
      <c r="AA757" s="4"/>
      <c r="AB757" s="4"/>
      <c r="AC757" s="4"/>
      <c r="AD757" s="4"/>
      <c r="AE757" s="25"/>
      <c r="AF757" s="4"/>
      <c r="AG757" s="4"/>
      <c r="AH757" s="4"/>
      <c r="AI757" s="4"/>
      <c r="AM757" s="26"/>
      <c r="AN757" s="26"/>
      <c r="AO757" s="26"/>
      <c r="AP757" s="26"/>
    </row>
    <row r="758" spans="1:42" ht="12.75" customHeight="1" x14ac:dyDescent="0.2">
      <c r="A758" s="5"/>
      <c r="B758" s="5"/>
      <c r="C758" s="5"/>
      <c r="E758" s="5"/>
      <c r="F758" s="5"/>
      <c r="N758" s="5"/>
      <c r="O758" s="5"/>
      <c r="X758" s="4"/>
      <c r="Y758" s="4"/>
      <c r="Z758" s="4"/>
      <c r="AA758" s="4"/>
      <c r="AB758" s="4"/>
      <c r="AC758" s="4"/>
      <c r="AD758" s="4"/>
      <c r="AE758" s="25"/>
      <c r="AF758" s="4"/>
      <c r="AG758" s="4"/>
      <c r="AH758" s="4"/>
      <c r="AI758" s="4"/>
      <c r="AM758" s="26"/>
      <c r="AN758" s="26"/>
      <c r="AO758" s="26"/>
      <c r="AP758" s="26"/>
    </row>
    <row r="759" spans="1:42" ht="12.75" customHeight="1" x14ac:dyDescent="0.2">
      <c r="A759" s="5"/>
      <c r="B759" s="5"/>
      <c r="C759" s="5"/>
      <c r="E759" s="5"/>
      <c r="F759" s="5"/>
      <c r="N759" s="5"/>
      <c r="O759" s="5"/>
      <c r="X759" s="4"/>
      <c r="Y759" s="4"/>
      <c r="Z759" s="4"/>
      <c r="AA759" s="4"/>
      <c r="AB759" s="4"/>
      <c r="AC759" s="4"/>
      <c r="AD759" s="4"/>
      <c r="AE759" s="25"/>
      <c r="AF759" s="4"/>
      <c r="AG759" s="4"/>
      <c r="AH759" s="4"/>
      <c r="AI759" s="4"/>
      <c r="AM759" s="26"/>
      <c r="AN759" s="26"/>
      <c r="AO759" s="26"/>
      <c r="AP759" s="26"/>
    </row>
    <row r="760" spans="1:42" ht="12.75" customHeight="1" x14ac:dyDescent="0.2">
      <c r="A760" s="5"/>
      <c r="B760" s="5"/>
      <c r="C760" s="5"/>
      <c r="E760" s="5"/>
      <c r="F760" s="5"/>
      <c r="N760" s="5"/>
      <c r="O760" s="5"/>
      <c r="X760" s="4"/>
      <c r="Y760" s="4"/>
      <c r="Z760" s="4"/>
      <c r="AA760" s="4"/>
      <c r="AB760" s="4"/>
      <c r="AC760" s="4"/>
      <c r="AD760" s="4"/>
      <c r="AE760" s="25"/>
      <c r="AF760" s="4"/>
      <c r="AG760" s="4"/>
      <c r="AH760" s="4"/>
      <c r="AI760" s="4"/>
      <c r="AM760" s="26"/>
      <c r="AN760" s="26"/>
      <c r="AO760" s="26"/>
      <c r="AP760" s="26"/>
    </row>
    <row r="761" spans="1:42" ht="12.75" customHeight="1" x14ac:dyDescent="0.2">
      <c r="A761" s="5"/>
      <c r="B761" s="5"/>
      <c r="C761" s="5"/>
      <c r="E761" s="5"/>
      <c r="F761" s="5"/>
      <c r="N761" s="5"/>
      <c r="O761" s="5"/>
      <c r="X761" s="4"/>
      <c r="Y761" s="4"/>
      <c r="Z761" s="4"/>
      <c r="AA761" s="4"/>
      <c r="AB761" s="4"/>
      <c r="AC761" s="4"/>
      <c r="AD761" s="4"/>
      <c r="AE761" s="25"/>
      <c r="AF761" s="4"/>
      <c r="AG761" s="4"/>
      <c r="AH761" s="4"/>
      <c r="AI761" s="4"/>
      <c r="AM761" s="26"/>
      <c r="AN761" s="26"/>
      <c r="AO761" s="26"/>
      <c r="AP761" s="26"/>
    </row>
    <row r="762" spans="1:42" ht="12.75" customHeight="1" x14ac:dyDescent="0.2">
      <c r="A762" s="5"/>
      <c r="B762" s="5"/>
      <c r="C762" s="5"/>
      <c r="E762" s="5"/>
      <c r="F762" s="5"/>
      <c r="N762" s="5"/>
      <c r="O762" s="5"/>
      <c r="X762" s="4"/>
      <c r="Y762" s="4"/>
      <c r="Z762" s="4"/>
      <c r="AA762" s="4"/>
      <c r="AB762" s="4"/>
      <c r="AC762" s="4"/>
      <c r="AD762" s="4"/>
      <c r="AE762" s="25"/>
      <c r="AF762" s="4"/>
      <c r="AG762" s="4"/>
      <c r="AH762" s="4"/>
      <c r="AI762" s="4"/>
      <c r="AM762" s="26"/>
      <c r="AN762" s="26"/>
      <c r="AO762" s="26"/>
      <c r="AP762" s="26"/>
    </row>
    <row r="763" spans="1:42" ht="12.75" customHeight="1" x14ac:dyDescent="0.2">
      <c r="A763" s="5"/>
      <c r="B763" s="5"/>
      <c r="C763" s="5"/>
      <c r="E763" s="5"/>
      <c r="F763" s="5"/>
      <c r="N763" s="5"/>
      <c r="O763" s="5"/>
      <c r="X763" s="4"/>
      <c r="Y763" s="4"/>
      <c r="Z763" s="4"/>
      <c r="AA763" s="4"/>
      <c r="AB763" s="4"/>
      <c r="AC763" s="4"/>
      <c r="AD763" s="4"/>
      <c r="AE763" s="25"/>
      <c r="AF763" s="4"/>
      <c r="AG763" s="4"/>
      <c r="AH763" s="4"/>
      <c r="AI763" s="4"/>
      <c r="AM763" s="26"/>
      <c r="AN763" s="26"/>
      <c r="AO763" s="26"/>
      <c r="AP763" s="26"/>
    </row>
    <row r="764" spans="1:42" ht="12.75" customHeight="1" x14ac:dyDescent="0.2">
      <c r="A764" s="5"/>
      <c r="B764" s="5"/>
      <c r="C764" s="5"/>
      <c r="E764" s="5"/>
      <c r="F764" s="5"/>
      <c r="N764" s="5"/>
      <c r="O764" s="5"/>
      <c r="X764" s="4"/>
      <c r="Y764" s="4"/>
      <c r="Z764" s="4"/>
      <c r="AA764" s="4"/>
      <c r="AB764" s="4"/>
      <c r="AC764" s="4"/>
      <c r="AD764" s="4"/>
      <c r="AE764" s="25"/>
      <c r="AF764" s="4"/>
      <c r="AG764" s="4"/>
      <c r="AH764" s="4"/>
      <c r="AI764" s="4"/>
      <c r="AM764" s="26"/>
      <c r="AN764" s="26"/>
      <c r="AO764" s="26"/>
      <c r="AP764" s="26"/>
    </row>
    <row r="765" spans="1:42" ht="12.75" customHeight="1" x14ac:dyDescent="0.2">
      <c r="A765" s="5"/>
      <c r="B765" s="5"/>
      <c r="C765" s="5"/>
      <c r="E765" s="5"/>
      <c r="F765" s="5"/>
      <c r="N765" s="5"/>
      <c r="O765" s="5"/>
      <c r="X765" s="4"/>
      <c r="Y765" s="4"/>
      <c r="Z765" s="4"/>
      <c r="AA765" s="4"/>
      <c r="AB765" s="4"/>
      <c r="AC765" s="4"/>
      <c r="AD765" s="4"/>
      <c r="AE765" s="25"/>
      <c r="AF765" s="4"/>
      <c r="AG765" s="4"/>
      <c r="AH765" s="4"/>
      <c r="AI765" s="4"/>
      <c r="AM765" s="26"/>
      <c r="AN765" s="26"/>
      <c r="AO765" s="26"/>
      <c r="AP765" s="26"/>
    </row>
    <row r="766" spans="1:42" ht="12.75" customHeight="1" x14ac:dyDescent="0.2">
      <c r="A766" s="5"/>
      <c r="B766" s="5"/>
      <c r="C766" s="5"/>
      <c r="E766" s="5"/>
      <c r="F766" s="5"/>
      <c r="N766" s="5"/>
      <c r="O766" s="5"/>
      <c r="X766" s="4"/>
      <c r="Y766" s="4"/>
      <c r="Z766" s="4"/>
      <c r="AA766" s="4"/>
      <c r="AB766" s="4"/>
      <c r="AC766" s="4"/>
      <c r="AD766" s="4"/>
      <c r="AE766" s="25"/>
      <c r="AF766" s="4"/>
      <c r="AG766" s="4"/>
      <c r="AH766" s="4"/>
      <c r="AI766" s="4"/>
      <c r="AM766" s="26"/>
      <c r="AN766" s="26"/>
      <c r="AO766" s="26"/>
      <c r="AP766" s="26"/>
    </row>
    <row r="767" spans="1:42" ht="12.75" customHeight="1" x14ac:dyDescent="0.2">
      <c r="A767" s="5"/>
      <c r="B767" s="5"/>
      <c r="C767" s="5"/>
      <c r="E767" s="5"/>
      <c r="F767" s="5"/>
      <c r="N767" s="5"/>
      <c r="O767" s="5"/>
      <c r="X767" s="4"/>
      <c r="Y767" s="4"/>
      <c r="Z767" s="4"/>
      <c r="AA767" s="4"/>
      <c r="AB767" s="4"/>
      <c r="AC767" s="4"/>
      <c r="AD767" s="4"/>
      <c r="AE767" s="25"/>
      <c r="AF767" s="4"/>
      <c r="AG767" s="4"/>
      <c r="AH767" s="4"/>
      <c r="AI767" s="4"/>
      <c r="AM767" s="26"/>
      <c r="AN767" s="26"/>
      <c r="AO767" s="26"/>
      <c r="AP767" s="26"/>
    </row>
    <row r="768" spans="1:42" ht="12.75" customHeight="1" x14ac:dyDescent="0.2">
      <c r="A768" s="5"/>
      <c r="B768" s="5"/>
      <c r="C768" s="5"/>
      <c r="E768" s="5"/>
      <c r="F768" s="5"/>
      <c r="N768" s="5"/>
      <c r="O768" s="5"/>
      <c r="X768" s="4"/>
      <c r="Y768" s="4"/>
      <c r="Z768" s="4"/>
      <c r="AA768" s="4"/>
      <c r="AB768" s="4"/>
      <c r="AC768" s="4"/>
      <c r="AD768" s="4"/>
      <c r="AE768" s="25"/>
      <c r="AF768" s="4"/>
      <c r="AG768" s="4"/>
      <c r="AH768" s="4"/>
      <c r="AI768" s="4"/>
      <c r="AM768" s="26"/>
      <c r="AN768" s="26"/>
      <c r="AO768" s="26"/>
      <c r="AP768" s="26"/>
    </row>
    <row r="769" spans="1:42" ht="12.75" customHeight="1" x14ac:dyDescent="0.2">
      <c r="A769" s="5"/>
      <c r="B769" s="5"/>
      <c r="C769" s="5"/>
      <c r="E769" s="5"/>
      <c r="F769" s="5"/>
      <c r="N769" s="5"/>
      <c r="O769" s="5"/>
      <c r="X769" s="4"/>
      <c r="Y769" s="4"/>
      <c r="Z769" s="4"/>
      <c r="AA769" s="4"/>
      <c r="AB769" s="4"/>
      <c r="AC769" s="4"/>
      <c r="AD769" s="4"/>
      <c r="AE769" s="25"/>
      <c r="AF769" s="4"/>
      <c r="AG769" s="4"/>
      <c r="AH769" s="4"/>
      <c r="AI769" s="4"/>
      <c r="AM769" s="26"/>
      <c r="AN769" s="26"/>
      <c r="AO769" s="26"/>
      <c r="AP769" s="26"/>
    </row>
    <row r="770" spans="1:42" ht="12.75" customHeight="1" x14ac:dyDescent="0.2">
      <c r="A770" s="5"/>
      <c r="B770" s="5"/>
      <c r="C770" s="5"/>
      <c r="E770" s="5"/>
      <c r="F770" s="5"/>
      <c r="N770" s="5"/>
      <c r="O770" s="5"/>
      <c r="X770" s="4"/>
      <c r="Y770" s="4"/>
      <c r="Z770" s="4"/>
      <c r="AA770" s="4"/>
      <c r="AB770" s="4"/>
      <c r="AC770" s="4"/>
      <c r="AD770" s="4"/>
      <c r="AE770" s="25"/>
      <c r="AF770" s="4"/>
      <c r="AG770" s="4"/>
      <c r="AH770" s="4"/>
      <c r="AI770" s="4"/>
      <c r="AM770" s="26"/>
      <c r="AN770" s="26"/>
      <c r="AO770" s="26"/>
      <c r="AP770" s="26"/>
    </row>
    <row r="771" spans="1:42" ht="12.75" customHeight="1" x14ac:dyDescent="0.2">
      <c r="A771" s="5"/>
      <c r="B771" s="5"/>
      <c r="C771" s="5"/>
      <c r="E771" s="5"/>
      <c r="F771" s="5"/>
      <c r="N771" s="5"/>
      <c r="O771" s="5"/>
      <c r="X771" s="4"/>
      <c r="Y771" s="4"/>
      <c r="Z771" s="4"/>
      <c r="AA771" s="4"/>
      <c r="AB771" s="4"/>
      <c r="AC771" s="4"/>
      <c r="AD771" s="4"/>
      <c r="AE771" s="25"/>
      <c r="AF771" s="4"/>
      <c r="AG771" s="4"/>
      <c r="AH771" s="4"/>
      <c r="AI771" s="4"/>
      <c r="AM771" s="26"/>
      <c r="AN771" s="26"/>
      <c r="AO771" s="26"/>
      <c r="AP771" s="26"/>
    </row>
    <row r="772" spans="1:42" ht="12.75" customHeight="1" x14ac:dyDescent="0.2">
      <c r="A772" s="5"/>
      <c r="B772" s="5"/>
      <c r="C772" s="5"/>
      <c r="E772" s="5"/>
      <c r="F772" s="5"/>
      <c r="N772" s="5"/>
      <c r="O772" s="5"/>
      <c r="X772" s="4"/>
      <c r="Y772" s="4"/>
      <c r="Z772" s="4"/>
      <c r="AA772" s="4"/>
      <c r="AB772" s="4"/>
      <c r="AC772" s="4"/>
      <c r="AD772" s="4"/>
      <c r="AE772" s="25"/>
      <c r="AF772" s="4"/>
      <c r="AG772" s="4"/>
      <c r="AH772" s="4"/>
      <c r="AI772" s="4"/>
      <c r="AM772" s="26"/>
      <c r="AN772" s="26"/>
      <c r="AO772" s="26"/>
      <c r="AP772" s="26"/>
    </row>
    <row r="773" spans="1:42" ht="12.75" customHeight="1" x14ac:dyDescent="0.2">
      <c r="A773" s="5"/>
      <c r="B773" s="5"/>
      <c r="C773" s="5"/>
      <c r="E773" s="5"/>
      <c r="F773" s="5"/>
      <c r="N773" s="5"/>
      <c r="O773" s="5"/>
      <c r="X773" s="4"/>
      <c r="Y773" s="4"/>
      <c r="Z773" s="4"/>
      <c r="AA773" s="4"/>
      <c r="AB773" s="4"/>
      <c r="AC773" s="4"/>
      <c r="AD773" s="4"/>
      <c r="AE773" s="25"/>
      <c r="AF773" s="4"/>
      <c r="AG773" s="4"/>
      <c r="AH773" s="4"/>
      <c r="AI773" s="4"/>
      <c r="AM773" s="26"/>
      <c r="AN773" s="26"/>
      <c r="AO773" s="26"/>
      <c r="AP773" s="26"/>
    </row>
    <row r="774" spans="1:42" ht="12.75" customHeight="1" x14ac:dyDescent="0.2">
      <c r="A774" s="5"/>
      <c r="B774" s="5"/>
      <c r="C774" s="5"/>
      <c r="E774" s="5"/>
      <c r="F774" s="5"/>
      <c r="N774" s="5"/>
      <c r="O774" s="5"/>
      <c r="X774" s="4"/>
      <c r="Y774" s="4"/>
      <c r="Z774" s="4"/>
      <c r="AA774" s="4"/>
      <c r="AB774" s="4"/>
      <c r="AC774" s="4"/>
      <c r="AD774" s="4"/>
      <c r="AE774" s="25"/>
      <c r="AF774" s="4"/>
      <c r="AG774" s="4"/>
      <c r="AH774" s="4"/>
      <c r="AI774" s="4"/>
      <c r="AM774" s="26"/>
      <c r="AN774" s="26"/>
      <c r="AO774" s="26"/>
      <c r="AP774" s="26"/>
    </row>
    <row r="775" spans="1:42" ht="12.75" customHeight="1" x14ac:dyDescent="0.2">
      <c r="A775" s="5"/>
      <c r="B775" s="5"/>
      <c r="C775" s="5"/>
      <c r="E775" s="5"/>
      <c r="F775" s="5"/>
      <c r="N775" s="5"/>
      <c r="O775" s="5"/>
      <c r="X775" s="4"/>
      <c r="Y775" s="4"/>
      <c r="Z775" s="4"/>
      <c r="AA775" s="4"/>
      <c r="AB775" s="4"/>
      <c r="AC775" s="4"/>
      <c r="AD775" s="4"/>
      <c r="AE775" s="25"/>
      <c r="AF775" s="4"/>
      <c r="AG775" s="4"/>
      <c r="AH775" s="4"/>
      <c r="AI775" s="4"/>
      <c r="AM775" s="26"/>
      <c r="AN775" s="26"/>
      <c r="AO775" s="26"/>
      <c r="AP775" s="26"/>
    </row>
    <row r="776" spans="1:42" ht="12.75" customHeight="1" x14ac:dyDescent="0.2">
      <c r="A776" s="5"/>
      <c r="B776" s="5"/>
      <c r="C776" s="5"/>
      <c r="E776" s="5"/>
      <c r="F776" s="5"/>
      <c r="N776" s="5"/>
      <c r="O776" s="5"/>
      <c r="X776" s="4"/>
      <c r="Y776" s="4"/>
      <c r="Z776" s="4"/>
      <c r="AA776" s="4"/>
      <c r="AB776" s="4"/>
      <c r="AC776" s="4"/>
      <c r="AD776" s="4"/>
      <c r="AE776" s="25"/>
      <c r="AF776" s="4"/>
      <c r="AG776" s="4"/>
      <c r="AH776" s="4"/>
      <c r="AI776" s="4"/>
      <c r="AM776" s="26"/>
      <c r="AN776" s="26"/>
      <c r="AO776" s="26"/>
      <c r="AP776" s="26"/>
    </row>
    <row r="777" spans="1:42" ht="12.75" customHeight="1" x14ac:dyDescent="0.2">
      <c r="A777" s="5"/>
      <c r="B777" s="5"/>
      <c r="C777" s="5"/>
      <c r="E777" s="5"/>
      <c r="F777" s="5"/>
      <c r="N777" s="5"/>
      <c r="O777" s="5"/>
      <c r="X777" s="4"/>
      <c r="Y777" s="4"/>
      <c r="Z777" s="4"/>
      <c r="AA777" s="4"/>
      <c r="AB777" s="4"/>
      <c r="AC777" s="4"/>
      <c r="AD777" s="4"/>
      <c r="AE777" s="25"/>
      <c r="AF777" s="4"/>
      <c r="AG777" s="4"/>
      <c r="AH777" s="4"/>
      <c r="AI777" s="4"/>
      <c r="AM777" s="26"/>
      <c r="AN777" s="26"/>
      <c r="AO777" s="26"/>
      <c r="AP777" s="26"/>
    </row>
    <row r="778" spans="1:42" ht="12.75" customHeight="1" x14ac:dyDescent="0.2">
      <c r="A778" s="5"/>
      <c r="B778" s="5"/>
      <c r="C778" s="5"/>
      <c r="E778" s="5"/>
      <c r="F778" s="5"/>
      <c r="N778" s="5"/>
      <c r="O778" s="5"/>
      <c r="X778" s="4"/>
      <c r="Y778" s="4"/>
      <c r="Z778" s="4"/>
      <c r="AA778" s="4"/>
      <c r="AB778" s="4"/>
      <c r="AC778" s="4"/>
      <c r="AD778" s="4"/>
      <c r="AE778" s="25"/>
      <c r="AF778" s="4"/>
      <c r="AG778" s="4"/>
      <c r="AH778" s="4"/>
      <c r="AI778" s="4"/>
      <c r="AM778" s="26"/>
      <c r="AN778" s="26"/>
      <c r="AO778" s="26"/>
      <c r="AP778" s="26"/>
    </row>
    <row r="779" spans="1:42" ht="12.75" customHeight="1" x14ac:dyDescent="0.2">
      <c r="A779" s="5"/>
      <c r="B779" s="5"/>
      <c r="C779" s="5"/>
      <c r="E779" s="5"/>
      <c r="F779" s="5"/>
      <c r="N779" s="5"/>
      <c r="O779" s="5"/>
      <c r="X779" s="4"/>
      <c r="Y779" s="4"/>
      <c r="Z779" s="4"/>
      <c r="AA779" s="4"/>
      <c r="AB779" s="4"/>
      <c r="AC779" s="4"/>
      <c r="AD779" s="4"/>
      <c r="AE779" s="25"/>
      <c r="AF779" s="4"/>
      <c r="AG779" s="4"/>
      <c r="AH779" s="4"/>
      <c r="AI779" s="4"/>
      <c r="AM779" s="26"/>
      <c r="AN779" s="26"/>
      <c r="AO779" s="26"/>
      <c r="AP779" s="26"/>
    </row>
    <row r="780" spans="1:42" ht="12.75" customHeight="1" x14ac:dyDescent="0.2">
      <c r="A780" s="5"/>
      <c r="B780" s="5"/>
      <c r="C780" s="5"/>
      <c r="E780" s="5"/>
      <c r="F780" s="5"/>
      <c r="N780" s="5"/>
      <c r="O780" s="5"/>
      <c r="X780" s="4"/>
      <c r="Y780" s="4"/>
      <c r="Z780" s="4"/>
      <c r="AA780" s="4"/>
      <c r="AB780" s="4"/>
      <c r="AC780" s="4"/>
      <c r="AD780" s="4"/>
      <c r="AE780" s="25"/>
      <c r="AF780" s="4"/>
      <c r="AG780" s="4"/>
      <c r="AH780" s="4"/>
      <c r="AI780" s="4"/>
      <c r="AM780" s="26"/>
      <c r="AN780" s="26"/>
      <c r="AO780" s="26"/>
      <c r="AP780" s="26"/>
    </row>
    <row r="781" spans="1:42" ht="12.75" customHeight="1" x14ac:dyDescent="0.2">
      <c r="A781" s="5"/>
      <c r="B781" s="5"/>
      <c r="C781" s="5"/>
      <c r="E781" s="5"/>
      <c r="F781" s="5"/>
      <c r="N781" s="5"/>
      <c r="O781" s="5"/>
      <c r="X781" s="4"/>
      <c r="Y781" s="4"/>
      <c r="Z781" s="4"/>
      <c r="AA781" s="4"/>
      <c r="AB781" s="4"/>
      <c r="AC781" s="4"/>
      <c r="AD781" s="4"/>
      <c r="AE781" s="25"/>
      <c r="AF781" s="4"/>
      <c r="AG781" s="4"/>
      <c r="AH781" s="4"/>
      <c r="AI781" s="4"/>
      <c r="AM781" s="26"/>
      <c r="AN781" s="26"/>
      <c r="AO781" s="26"/>
      <c r="AP781" s="26"/>
    </row>
    <row r="782" spans="1:42" ht="12.75" customHeight="1" x14ac:dyDescent="0.2">
      <c r="A782" s="5"/>
      <c r="B782" s="5"/>
      <c r="C782" s="5"/>
      <c r="E782" s="5"/>
      <c r="F782" s="5"/>
      <c r="N782" s="5"/>
      <c r="O782" s="5"/>
      <c r="X782" s="4"/>
      <c r="Y782" s="4"/>
      <c r="Z782" s="4"/>
      <c r="AA782" s="4"/>
      <c r="AB782" s="4"/>
      <c r="AC782" s="4"/>
      <c r="AD782" s="4"/>
      <c r="AE782" s="25"/>
      <c r="AF782" s="4"/>
      <c r="AG782" s="4"/>
      <c r="AH782" s="4"/>
      <c r="AI782" s="4"/>
      <c r="AM782" s="26"/>
      <c r="AN782" s="26"/>
      <c r="AO782" s="26"/>
      <c r="AP782" s="26"/>
    </row>
    <row r="783" spans="1:42" ht="12.75" customHeight="1" x14ac:dyDescent="0.2">
      <c r="A783" s="5"/>
      <c r="B783" s="5"/>
      <c r="C783" s="5"/>
      <c r="E783" s="5"/>
      <c r="F783" s="5"/>
      <c r="N783" s="5"/>
      <c r="O783" s="5"/>
      <c r="X783" s="4"/>
      <c r="Y783" s="4"/>
      <c r="Z783" s="4"/>
      <c r="AA783" s="4"/>
      <c r="AB783" s="4"/>
      <c r="AC783" s="4"/>
      <c r="AD783" s="4"/>
      <c r="AE783" s="25"/>
      <c r="AF783" s="4"/>
      <c r="AG783" s="4"/>
      <c r="AH783" s="4"/>
      <c r="AI783" s="4"/>
      <c r="AM783" s="26"/>
      <c r="AN783" s="26"/>
      <c r="AO783" s="26"/>
      <c r="AP783" s="26"/>
    </row>
    <row r="784" spans="1:42" ht="12.75" customHeight="1" x14ac:dyDescent="0.2">
      <c r="A784" s="5"/>
      <c r="B784" s="5"/>
      <c r="C784" s="5"/>
      <c r="E784" s="5"/>
      <c r="F784" s="5"/>
      <c r="N784" s="5"/>
      <c r="O784" s="5"/>
      <c r="X784" s="4"/>
      <c r="Y784" s="4"/>
      <c r="Z784" s="4"/>
      <c r="AA784" s="4"/>
      <c r="AB784" s="4"/>
      <c r="AC784" s="4"/>
      <c r="AD784" s="4"/>
      <c r="AE784" s="25"/>
      <c r="AF784" s="4"/>
      <c r="AG784" s="4"/>
      <c r="AH784" s="4"/>
      <c r="AI784" s="4"/>
      <c r="AM784" s="26"/>
      <c r="AN784" s="26"/>
      <c r="AO784" s="26"/>
      <c r="AP784" s="26"/>
    </row>
    <row r="785" spans="1:42" ht="12.75" customHeight="1" x14ac:dyDescent="0.2">
      <c r="A785" s="5"/>
      <c r="B785" s="5"/>
      <c r="C785" s="5"/>
      <c r="E785" s="5"/>
      <c r="F785" s="5"/>
      <c r="N785" s="5"/>
      <c r="O785" s="5"/>
      <c r="X785" s="4"/>
      <c r="Y785" s="4"/>
      <c r="Z785" s="4"/>
      <c r="AA785" s="4"/>
      <c r="AB785" s="4"/>
      <c r="AC785" s="4"/>
      <c r="AD785" s="4"/>
      <c r="AE785" s="25"/>
      <c r="AF785" s="4"/>
      <c r="AG785" s="4"/>
      <c r="AH785" s="4"/>
      <c r="AI785" s="4"/>
      <c r="AM785" s="26"/>
      <c r="AN785" s="26"/>
      <c r="AO785" s="26"/>
      <c r="AP785" s="26"/>
    </row>
    <row r="786" spans="1:42" ht="12.75" customHeight="1" x14ac:dyDescent="0.2">
      <c r="A786" s="5"/>
      <c r="B786" s="5"/>
      <c r="C786" s="5"/>
      <c r="E786" s="5"/>
      <c r="F786" s="5"/>
      <c r="N786" s="5"/>
      <c r="O786" s="5"/>
      <c r="X786" s="4"/>
      <c r="Y786" s="4"/>
      <c r="Z786" s="4"/>
      <c r="AA786" s="4"/>
      <c r="AB786" s="4"/>
      <c r="AC786" s="4"/>
      <c r="AD786" s="4"/>
      <c r="AE786" s="25"/>
      <c r="AF786" s="4"/>
      <c r="AG786" s="4"/>
      <c r="AH786" s="4"/>
      <c r="AI786" s="4"/>
      <c r="AM786" s="26"/>
      <c r="AN786" s="26"/>
      <c r="AO786" s="26"/>
      <c r="AP786" s="26"/>
    </row>
    <row r="787" spans="1:42" ht="12.75" customHeight="1" x14ac:dyDescent="0.2">
      <c r="A787" s="5"/>
      <c r="B787" s="5"/>
      <c r="C787" s="5"/>
      <c r="E787" s="5"/>
      <c r="F787" s="5"/>
      <c r="N787" s="5"/>
      <c r="O787" s="5"/>
      <c r="X787" s="4"/>
      <c r="Y787" s="4"/>
      <c r="Z787" s="4"/>
      <c r="AA787" s="4"/>
      <c r="AB787" s="4"/>
      <c r="AC787" s="4"/>
      <c r="AD787" s="4"/>
      <c r="AE787" s="25"/>
      <c r="AF787" s="4"/>
      <c r="AG787" s="4"/>
      <c r="AH787" s="4"/>
      <c r="AI787" s="4"/>
      <c r="AM787" s="26"/>
      <c r="AN787" s="26"/>
      <c r="AO787" s="26"/>
      <c r="AP787" s="26"/>
    </row>
    <row r="788" spans="1:42" ht="12.75" customHeight="1" x14ac:dyDescent="0.2">
      <c r="A788" s="5"/>
      <c r="B788" s="5"/>
      <c r="C788" s="5"/>
      <c r="E788" s="5"/>
      <c r="F788" s="5"/>
      <c r="N788" s="5"/>
      <c r="O788" s="5"/>
      <c r="X788" s="4"/>
      <c r="Y788" s="4"/>
      <c r="Z788" s="4"/>
      <c r="AA788" s="4"/>
      <c r="AB788" s="4"/>
      <c r="AC788" s="4"/>
      <c r="AD788" s="4"/>
      <c r="AE788" s="25"/>
      <c r="AF788" s="4"/>
      <c r="AG788" s="4"/>
      <c r="AH788" s="4"/>
      <c r="AI788" s="4"/>
      <c r="AM788" s="26"/>
      <c r="AN788" s="26"/>
      <c r="AO788" s="26"/>
      <c r="AP788" s="26"/>
    </row>
    <row r="789" spans="1:42" ht="12.75" customHeight="1" x14ac:dyDescent="0.2">
      <c r="A789" s="5"/>
      <c r="B789" s="5"/>
      <c r="C789" s="5"/>
      <c r="E789" s="5"/>
      <c r="F789" s="5"/>
      <c r="N789" s="5"/>
      <c r="O789" s="5"/>
      <c r="X789" s="4"/>
      <c r="Y789" s="4"/>
      <c r="Z789" s="4"/>
      <c r="AA789" s="4"/>
      <c r="AB789" s="4"/>
      <c r="AC789" s="4"/>
      <c r="AD789" s="4"/>
      <c r="AE789" s="25"/>
      <c r="AF789" s="4"/>
      <c r="AG789" s="4"/>
      <c r="AH789" s="4"/>
      <c r="AI789" s="4"/>
      <c r="AM789" s="26"/>
      <c r="AN789" s="26"/>
      <c r="AO789" s="26"/>
      <c r="AP789" s="26"/>
    </row>
    <row r="790" spans="1:42" ht="12.75" customHeight="1" x14ac:dyDescent="0.2">
      <c r="A790" s="5"/>
      <c r="B790" s="5"/>
      <c r="C790" s="5"/>
      <c r="E790" s="5"/>
      <c r="F790" s="5"/>
      <c r="N790" s="5"/>
      <c r="O790" s="5"/>
      <c r="X790" s="4"/>
      <c r="Y790" s="4"/>
      <c r="Z790" s="4"/>
      <c r="AA790" s="4"/>
      <c r="AB790" s="4"/>
      <c r="AC790" s="4"/>
      <c r="AD790" s="4"/>
      <c r="AE790" s="25"/>
      <c r="AF790" s="4"/>
      <c r="AG790" s="4"/>
      <c r="AH790" s="4"/>
      <c r="AI790" s="4"/>
      <c r="AM790" s="26"/>
      <c r="AN790" s="26"/>
      <c r="AO790" s="26"/>
      <c r="AP790" s="26"/>
    </row>
    <row r="791" spans="1:42" ht="12.75" customHeight="1" x14ac:dyDescent="0.2">
      <c r="A791" s="5"/>
      <c r="B791" s="5"/>
      <c r="C791" s="5"/>
      <c r="E791" s="5"/>
      <c r="F791" s="5"/>
      <c r="N791" s="5"/>
      <c r="O791" s="5"/>
      <c r="X791" s="4"/>
      <c r="Y791" s="4"/>
      <c r="Z791" s="4"/>
      <c r="AA791" s="4"/>
      <c r="AB791" s="4"/>
      <c r="AC791" s="4"/>
      <c r="AD791" s="4"/>
      <c r="AE791" s="25"/>
      <c r="AF791" s="4"/>
      <c r="AG791" s="4"/>
      <c r="AH791" s="4"/>
      <c r="AI791" s="4"/>
      <c r="AM791" s="26"/>
      <c r="AN791" s="26"/>
      <c r="AO791" s="26"/>
      <c r="AP791" s="26"/>
    </row>
    <row r="792" spans="1:42" ht="12.75" customHeight="1" x14ac:dyDescent="0.2">
      <c r="A792" s="5"/>
      <c r="B792" s="5"/>
      <c r="C792" s="5"/>
      <c r="E792" s="5"/>
      <c r="F792" s="5"/>
      <c r="N792" s="5"/>
      <c r="O792" s="5"/>
      <c r="X792" s="4"/>
      <c r="Y792" s="4"/>
      <c r="Z792" s="4"/>
      <c r="AA792" s="4"/>
      <c r="AB792" s="4"/>
      <c r="AC792" s="4"/>
      <c r="AD792" s="4"/>
      <c r="AE792" s="25"/>
      <c r="AF792" s="4"/>
      <c r="AG792" s="4"/>
      <c r="AH792" s="4"/>
      <c r="AI792" s="4"/>
      <c r="AM792" s="26"/>
      <c r="AN792" s="26"/>
      <c r="AO792" s="26"/>
      <c r="AP792" s="26"/>
    </row>
    <row r="793" spans="1:42" ht="12.75" customHeight="1" x14ac:dyDescent="0.2">
      <c r="A793" s="5"/>
      <c r="B793" s="5"/>
      <c r="C793" s="5"/>
      <c r="E793" s="5"/>
      <c r="F793" s="5"/>
      <c r="N793" s="5"/>
      <c r="O793" s="5"/>
      <c r="X793" s="4"/>
      <c r="Y793" s="4"/>
      <c r="Z793" s="4"/>
      <c r="AA793" s="4"/>
      <c r="AB793" s="4"/>
      <c r="AC793" s="4"/>
      <c r="AD793" s="4"/>
      <c r="AE793" s="25"/>
      <c r="AF793" s="4"/>
      <c r="AG793" s="4"/>
      <c r="AH793" s="4"/>
      <c r="AI793" s="4"/>
      <c r="AM793" s="26"/>
      <c r="AN793" s="26"/>
      <c r="AO793" s="26"/>
      <c r="AP793" s="26"/>
    </row>
    <row r="794" spans="1:42" ht="12.75" customHeight="1" x14ac:dyDescent="0.2">
      <c r="A794" s="5"/>
      <c r="B794" s="5"/>
      <c r="C794" s="5"/>
      <c r="E794" s="5"/>
      <c r="F794" s="5"/>
      <c r="N794" s="5"/>
      <c r="O794" s="5"/>
      <c r="X794" s="4"/>
      <c r="Y794" s="4"/>
      <c r="Z794" s="4"/>
      <c r="AA794" s="4"/>
      <c r="AB794" s="4"/>
      <c r="AC794" s="4"/>
      <c r="AD794" s="4"/>
      <c r="AE794" s="25"/>
      <c r="AF794" s="4"/>
      <c r="AG794" s="4"/>
      <c r="AH794" s="4"/>
      <c r="AI794" s="4"/>
      <c r="AM794" s="26"/>
      <c r="AN794" s="26"/>
      <c r="AO794" s="26"/>
      <c r="AP794" s="26"/>
    </row>
    <row r="795" spans="1:42" ht="12.75" customHeight="1" x14ac:dyDescent="0.2">
      <c r="A795" s="5"/>
      <c r="B795" s="5"/>
      <c r="C795" s="5"/>
      <c r="E795" s="5"/>
      <c r="F795" s="5"/>
      <c r="N795" s="5"/>
      <c r="O795" s="5"/>
      <c r="X795" s="4"/>
      <c r="Y795" s="4"/>
      <c r="Z795" s="4"/>
      <c r="AA795" s="4"/>
      <c r="AB795" s="4"/>
      <c r="AC795" s="4"/>
      <c r="AD795" s="4"/>
      <c r="AE795" s="25"/>
      <c r="AF795" s="4"/>
      <c r="AG795" s="4"/>
      <c r="AH795" s="4"/>
      <c r="AI795" s="4"/>
      <c r="AM795" s="26"/>
      <c r="AN795" s="26"/>
      <c r="AO795" s="26"/>
      <c r="AP795" s="26"/>
    </row>
    <row r="796" spans="1:42" ht="12.75" customHeight="1" x14ac:dyDescent="0.2">
      <c r="A796" s="5"/>
      <c r="B796" s="5"/>
      <c r="C796" s="5"/>
      <c r="E796" s="5"/>
      <c r="F796" s="5"/>
      <c r="N796" s="5"/>
      <c r="O796" s="5"/>
      <c r="X796" s="4"/>
      <c r="Y796" s="4"/>
      <c r="Z796" s="4"/>
      <c r="AA796" s="4"/>
      <c r="AB796" s="4"/>
      <c r="AC796" s="4"/>
      <c r="AD796" s="4"/>
      <c r="AE796" s="25"/>
      <c r="AF796" s="4"/>
      <c r="AG796" s="4"/>
      <c r="AH796" s="4"/>
      <c r="AI796" s="4"/>
      <c r="AM796" s="26"/>
      <c r="AN796" s="26"/>
      <c r="AO796" s="26"/>
      <c r="AP796" s="26"/>
    </row>
    <row r="797" spans="1:42" ht="12.75" customHeight="1" x14ac:dyDescent="0.2">
      <c r="A797" s="5"/>
      <c r="B797" s="5"/>
      <c r="C797" s="5"/>
      <c r="E797" s="5"/>
      <c r="F797" s="5"/>
      <c r="N797" s="5"/>
      <c r="O797" s="5"/>
      <c r="X797" s="4"/>
      <c r="Y797" s="4"/>
      <c r="Z797" s="4"/>
      <c r="AA797" s="4"/>
      <c r="AB797" s="4"/>
      <c r="AC797" s="4"/>
      <c r="AD797" s="4"/>
      <c r="AE797" s="25"/>
      <c r="AF797" s="4"/>
      <c r="AG797" s="4"/>
      <c r="AH797" s="4"/>
      <c r="AI797" s="4"/>
      <c r="AM797" s="26"/>
      <c r="AN797" s="26"/>
      <c r="AO797" s="26"/>
      <c r="AP797" s="26"/>
    </row>
    <row r="798" spans="1:42" ht="12.75" customHeight="1" x14ac:dyDescent="0.2">
      <c r="A798" s="5"/>
      <c r="B798" s="5"/>
      <c r="C798" s="5"/>
      <c r="E798" s="5"/>
      <c r="F798" s="5"/>
      <c r="N798" s="5"/>
      <c r="O798" s="5"/>
      <c r="X798" s="4"/>
      <c r="Y798" s="4"/>
      <c r="Z798" s="4"/>
      <c r="AA798" s="4"/>
      <c r="AB798" s="4"/>
      <c r="AC798" s="4"/>
      <c r="AD798" s="4"/>
      <c r="AE798" s="25"/>
      <c r="AF798" s="4"/>
      <c r="AG798" s="4"/>
      <c r="AH798" s="4"/>
      <c r="AI798" s="4"/>
      <c r="AM798" s="26"/>
      <c r="AN798" s="26"/>
      <c r="AO798" s="26"/>
      <c r="AP798" s="26"/>
    </row>
    <row r="799" spans="1:42" ht="12.75" customHeight="1" x14ac:dyDescent="0.2">
      <c r="A799" s="5"/>
      <c r="B799" s="5"/>
      <c r="C799" s="5"/>
      <c r="E799" s="5"/>
      <c r="F799" s="5"/>
      <c r="N799" s="5"/>
      <c r="O799" s="5"/>
      <c r="X799" s="4"/>
      <c r="Y799" s="4"/>
      <c r="Z799" s="4"/>
      <c r="AA799" s="4"/>
      <c r="AB799" s="4"/>
      <c r="AC799" s="4"/>
      <c r="AD799" s="4"/>
      <c r="AE799" s="25"/>
      <c r="AF799" s="4"/>
      <c r="AG799" s="4"/>
      <c r="AH799" s="4"/>
      <c r="AI799" s="4"/>
      <c r="AM799" s="26"/>
      <c r="AN799" s="26"/>
      <c r="AO799" s="26"/>
      <c r="AP799" s="26"/>
    </row>
    <row r="800" spans="1:42" ht="12.75" customHeight="1" x14ac:dyDescent="0.2">
      <c r="A800" s="5"/>
      <c r="B800" s="5"/>
      <c r="C800" s="5"/>
      <c r="E800" s="5"/>
      <c r="F800" s="5"/>
      <c r="N800" s="5"/>
      <c r="O800" s="5"/>
      <c r="X800" s="4"/>
      <c r="Y800" s="4"/>
      <c r="Z800" s="4"/>
      <c r="AA800" s="4"/>
      <c r="AB800" s="4"/>
      <c r="AC800" s="4"/>
      <c r="AD800" s="4"/>
      <c r="AE800" s="25"/>
      <c r="AF800" s="4"/>
      <c r="AG800" s="4"/>
      <c r="AH800" s="4"/>
      <c r="AI800" s="4"/>
      <c r="AM800" s="26"/>
      <c r="AN800" s="26"/>
      <c r="AO800" s="26"/>
      <c r="AP800" s="26"/>
    </row>
    <row r="801" spans="1:42" ht="12.75" customHeight="1" x14ac:dyDescent="0.2">
      <c r="A801" s="5"/>
      <c r="B801" s="5"/>
      <c r="C801" s="5"/>
      <c r="E801" s="5"/>
      <c r="F801" s="5"/>
      <c r="N801" s="5"/>
      <c r="O801" s="5"/>
      <c r="X801" s="4"/>
      <c r="Y801" s="4"/>
      <c r="Z801" s="4"/>
      <c r="AA801" s="4"/>
      <c r="AB801" s="4"/>
      <c r="AC801" s="4"/>
      <c r="AD801" s="4"/>
      <c r="AE801" s="25"/>
      <c r="AF801" s="4"/>
      <c r="AG801" s="4"/>
      <c r="AH801" s="4"/>
      <c r="AI801" s="4"/>
      <c r="AM801" s="26"/>
      <c r="AN801" s="26"/>
      <c r="AO801" s="26"/>
      <c r="AP801" s="26"/>
    </row>
    <row r="802" spans="1:42" ht="12.75" customHeight="1" x14ac:dyDescent="0.2">
      <c r="A802" s="5"/>
      <c r="B802" s="5"/>
      <c r="C802" s="5"/>
      <c r="E802" s="5"/>
      <c r="F802" s="5"/>
      <c r="N802" s="5"/>
      <c r="O802" s="5"/>
      <c r="X802" s="4"/>
      <c r="Y802" s="4"/>
      <c r="Z802" s="4"/>
      <c r="AA802" s="4"/>
      <c r="AB802" s="4"/>
      <c r="AC802" s="4"/>
      <c r="AD802" s="4"/>
      <c r="AE802" s="25"/>
      <c r="AF802" s="4"/>
      <c r="AG802" s="4"/>
      <c r="AH802" s="4"/>
      <c r="AI802" s="4"/>
      <c r="AM802" s="26"/>
      <c r="AN802" s="26"/>
      <c r="AO802" s="26"/>
      <c r="AP802" s="26"/>
    </row>
    <row r="803" spans="1:42" ht="12.75" customHeight="1" x14ac:dyDescent="0.2">
      <c r="A803" s="5"/>
      <c r="B803" s="5"/>
      <c r="C803" s="5"/>
      <c r="E803" s="5"/>
      <c r="F803" s="5"/>
      <c r="N803" s="5"/>
      <c r="O803" s="5"/>
      <c r="X803" s="4"/>
      <c r="Y803" s="4"/>
      <c r="Z803" s="4"/>
      <c r="AA803" s="4"/>
      <c r="AB803" s="4"/>
      <c r="AC803" s="4"/>
      <c r="AD803" s="4"/>
      <c r="AE803" s="25"/>
      <c r="AF803" s="4"/>
      <c r="AG803" s="4"/>
      <c r="AH803" s="4"/>
      <c r="AI803" s="4"/>
      <c r="AM803" s="26"/>
      <c r="AN803" s="26"/>
      <c r="AO803" s="26"/>
      <c r="AP803" s="26"/>
    </row>
    <row r="804" spans="1:42" ht="12.75" customHeight="1" x14ac:dyDescent="0.2">
      <c r="A804" s="5"/>
      <c r="B804" s="5"/>
      <c r="C804" s="5"/>
      <c r="E804" s="5"/>
      <c r="F804" s="5"/>
      <c r="N804" s="5"/>
      <c r="O804" s="5"/>
      <c r="X804" s="4"/>
      <c r="Y804" s="4"/>
      <c r="Z804" s="4"/>
      <c r="AA804" s="4"/>
      <c r="AB804" s="4"/>
      <c r="AC804" s="4"/>
      <c r="AD804" s="4"/>
      <c r="AE804" s="25"/>
      <c r="AF804" s="4"/>
      <c r="AG804" s="4"/>
      <c r="AH804" s="4"/>
      <c r="AI804" s="4"/>
      <c r="AM804" s="26"/>
      <c r="AN804" s="26"/>
      <c r="AO804" s="26"/>
      <c r="AP804" s="26"/>
    </row>
    <row r="805" spans="1:42" ht="12.75" customHeight="1" x14ac:dyDescent="0.2">
      <c r="A805" s="5"/>
      <c r="B805" s="5"/>
      <c r="C805" s="5"/>
      <c r="E805" s="5"/>
      <c r="F805" s="5"/>
      <c r="N805" s="5"/>
      <c r="O805" s="5"/>
      <c r="X805" s="4"/>
      <c r="Y805" s="4"/>
      <c r="Z805" s="4"/>
      <c r="AA805" s="4"/>
      <c r="AB805" s="4"/>
      <c r="AC805" s="4"/>
      <c r="AD805" s="4"/>
      <c r="AE805" s="25"/>
      <c r="AF805" s="4"/>
      <c r="AG805" s="4"/>
      <c r="AH805" s="4"/>
      <c r="AI805" s="4"/>
      <c r="AM805" s="26"/>
      <c r="AN805" s="26"/>
      <c r="AO805" s="26"/>
      <c r="AP805" s="26"/>
    </row>
    <row r="806" spans="1:42" ht="12.75" customHeight="1" x14ac:dyDescent="0.2">
      <c r="A806" s="5"/>
      <c r="B806" s="5"/>
      <c r="C806" s="5"/>
      <c r="E806" s="5"/>
      <c r="F806" s="5"/>
      <c r="N806" s="5"/>
      <c r="O806" s="5"/>
      <c r="X806" s="4"/>
      <c r="Y806" s="4"/>
      <c r="Z806" s="4"/>
      <c r="AA806" s="4"/>
      <c r="AB806" s="4"/>
      <c r="AC806" s="4"/>
      <c r="AD806" s="4"/>
      <c r="AE806" s="25"/>
      <c r="AF806" s="4"/>
      <c r="AG806" s="4"/>
      <c r="AH806" s="4"/>
      <c r="AI806" s="4"/>
      <c r="AM806" s="26"/>
      <c r="AN806" s="26"/>
      <c r="AO806" s="26"/>
      <c r="AP806" s="26"/>
    </row>
    <row r="807" spans="1:42" ht="12.75" customHeight="1" x14ac:dyDescent="0.2">
      <c r="A807" s="5"/>
      <c r="B807" s="5"/>
      <c r="C807" s="5"/>
      <c r="E807" s="5"/>
      <c r="F807" s="5"/>
      <c r="N807" s="5"/>
      <c r="O807" s="5"/>
      <c r="X807" s="4"/>
      <c r="Y807" s="4"/>
      <c r="Z807" s="4"/>
      <c r="AA807" s="4"/>
      <c r="AB807" s="4"/>
      <c r="AC807" s="4"/>
      <c r="AD807" s="4"/>
      <c r="AE807" s="25"/>
      <c r="AF807" s="4"/>
      <c r="AG807" s="4"/>
      <c r="AH807" s="4"/>
      <c r="AI807" s="4"/>
      <c r="AM807" s="26"/>
      <c r="AN807" s="26"/>
      <c r="AO807" s="26"/>
      <c r="AP807" s="26"/>
    </row>
    <row r="808" spans="1:42" ht="12.75" customHeight="1" x14ac:dyDescent="0.2">
      <c r="A808" s="5"/>
      <c r="B808" s="5"/>
      <c r="C808" s="5"/>
      <c r="E808" s="5"/>
      <c r="F808" s="5"/>
      <c r="N808" s="5"/>
      <c r="O808" s="5"/>
      <c r="X808" s="4"/>
      <c r="Y808" s="4"/>
      <c r="Z808" s="4"/>
      <c r="AA808" s="4"/>
      <c r="AB808" s="4"/>
      <c r="AC808" s="4"/>
      <c r="AD808" s="4"/>
      <c r="AE808" s="25"/>
      <c r="AF808" s="4"/>
      <c r="AG808" s="4"/>
      <c r="AH808" s="4"/>
      <c r="AI808" s="4"/>
      <c r="AM808" s="26"/>
      <c r="AN808" s="26"/>
      <c r="AO808" s="26"/>
      <c r="AP808" s="26"/>
    </row>
    <row r="809" spans="1:42" ht="12.75" customHeight="1" x14ac:dyDescent="0.2">
      <c r="A809" s="5"/>
      <c r="B809" s="5"/>
      <c r="C809" s="5"/>
      <c r="E809" s="5"/>
      <c r="F809" s="5"/>
      <c r="N809" s="5"/>
      <c r="O809" s="5"/>
      <c r="X809" s="4"/>
      <c r="Y809" s="4"/>
      <c r="Z809" s="4"/>
      <c r="AA809" s="4"/>
      <c r="AB809" s="4"/>
      <c r="AC809" s="4"/>
      <c r="AD809" s="4"/>
      <c r="AE809" s="25"/>
      <c r="AF809" s="4"/>
      <c r="AG809" s="4"/>
      <c r="AH809" s="4"/>
      <c r="AI809" s="4"/>
      <c r="AM809" s="26"/>
      <c r="AN809" s="26"/>
      <c r="AO809" s="26"/>
      <c r="AP809" s="26"/>
    </row>
    <row r="810" spans="1:42" ht="12.75" customHeight="1" x14ac:dyDescent="0.2">
      <c r="A810" s="5"/>
      <c r="B810" s="5"/>
      <c r="C810" s="5"/>
      <c r="E810" s="5"/>
      <c r="F810" s="5"/>
      <c r="N810" s="5"/>
      <c r="O810" s="5"/>
      <c r="X810" s="4"/>
      <c r="Y810" s="4"/>
      <c r="Z810" s="4"/>
      <c r="AA810" s="4"/>
      <c r="AB810" s="4"/>
      <c r="AC810" s="4"/>
      <c r="AD810" s="4"/>
      <c r="AE810" s="25"/>
      <c r="AF810" s="4"/>
      <c r="AG810" s="4"/>
      <c r="AH810" s="4"/>
      <c r="AI810" s="4"/>
      <c r="AM810" s="26"/>
      <c r="AN810" s="26"/>
      <c r="AO810" s="26"/>
      <c r="AP810" s="26"/>
    </row>
    <row r="811" spans="1:42" ht="12.75" customHeight="1" x14ac:dyDescent="0.2">
      <c r="A811" s="5"/>
      <c r="B811" s="5"/>
      <c r="C811" s="5"/>
      <c r="E811" s="5"/>
      <c r="F811" s="5"/>
      <c r="N811" s="5"/>
      <c r="O811" s="5"/>
      <c r="X811" s="4"/>
      <c r="Y811" s="4"/>
      <c r="Z811" s="4"/>
      <c r="AA811" s="4"/>
      <c r="AB811" s="4"/>
      <c r="AC811" s="4"/>
      <c r="AD811" s="4"/>
      <c r="AE811" s="25"/>
      <c r="AF811" s="4"/>
      <c r="AG811" s="4"/>
      <c r="AH811" s="4"/>
      <c r="AI811" s="4"/>
      <c r="AM811" s="26"/>
      <c r="AN811" s="26"/>
      <c r="AO811" s="26"/>
      <c r="AP811" s="26"/>
    </row>
    <row r="812" spans="1:42" ht="12.75" customHeight="1" x14ac:dyDescent="0.2">
      <c r="A812" s="5"/>
      <c r="B812" s="5"/>
      <c r="C812" s="5"/>
      <c r="E812" s="5"/>
      <c r="F812" s="5"/>
      <c r="N812" s="5"/>
      <c r="O812" s="5"/>
      <c r="X812" s="4"/>
      <c r="Y812" s="4"/>
      <c r="Z812" s="4"/>
      <c r="AA812" s="4"/>
      <c r="AB812" s="4"/>
      <c r="AC812" s="4"/>
      <c r="AD812" s="4"/>
      <c r="AE812" s="25"/>
      <c r="AF812" s="4"/>
      <c r="AG812" s="4"/>
      <c r="AH812" s="4"/>
      <c r="AI812" s="4"/>
      <c r="AM812" s="26"/>
      <c r="AN812" s="26"/>
      <c r="AO812" s="26"/>
      <c r="AP812" s="26"/>
    </row>
    <row r="813" spans="1:42" ht="12.75" customHeight="1" x14ac:dyDescent="0.2">
      <c r="A813" s="5"/>
      <c r="B813" s="5"/>
      <c r="C813" s="5"/>
      <c r="E813" s="5"/>
      <c r="F813" s="5"/>
      <c r="N813" s="5"/>
      <c r="O813" s="5"/>
      <c r="X813" s="4"/>
      <c r="Y813" s="4"/>
      <c r="Z813" s="4"/>
      <c r="AA813" s="4"/>
      <c r="AB813" s="4"/>
      <c r="AC813" s="4"/>
      <c r="AD813" s="4"/>
      <c r="AE813" s="25"/>
      <c r="AF813" s="4"/>
      <c r="AG813" s="4"/>
      <c r="AH813" s="4"/>
      <c r="AI813" s="4"/>
      <c r="AM813" s="26"/>
      <c r="AN813" s="26"/>
      <c r="AO813" s="26"/>
      <c r="AP813" s="26"/>
    </row>
    <row r="814" spans="1:42" ht="12.75" customHeight="1" x14ac:dyDescent="0.2">
      <c r="A814" s="5"/>
      <c r="B814" s="5"/>
      <c r="C814" s="5"/>
      <c r="E814" s="5"/>
      <c r="F814" s="5"/>
      <c r="N814" s="5"/>
      <c r="O814" s="5"/>
      <c r="X814" s="4"/>
      <c r="Y814" s="4"/>
      <c r="Z814" s="4"/>
      <c r="AA814" s="4"/>
      <c r="AB814" s="4"/>
      <c r="AC814" s="4"/>
      <c r="AD814" s="4"/>
      <c r="AE814" s="25"/>
      <c r="AF814" s="4"/>
      <c r="AG814" s="4"/>
      <c r="AH814" s="4"/>
      <c r="AI814" s="4"/>
      <c r="AM814" s="26"/>
      <c r="AN814" s="26"/>
      <c r="AO814" s="26"/>
      <c r="AP814" s="26"/>
    </row>
    <row r="815" spans="1:42" ht="12.75" customHeight="1" x14ac:dyDescent="0.2">
      <c r="A815" s="5"/>
      <c r="B815" s="5"/>
      <c r="C815" s="5"/>
      <c r="E815" s="5"/>
      <c r="F815" s="5"/>
      <c r="N815" s="5"/>
      <c r="O815" s="5"/>
      <c r="X815" s="4"/>
      <c r="Y815" s="4"/>
      <c r="Z815" s="4"/>
      <c r="AA815" s="4"/>
      <c r="AB815" s="4"/>
      <c r="AC815" s="4"/>
      <c r="AD815" s="4"/>
      <c r="AE815" s="25"/>
      <c r="AF815" s="4"/>
      <c r="AG815" s="4"/>
      <c r="AH815" s="4"/>
      <c r="AI815" s="4"/>
      <c r="AM815" s="26"/>
      <c r="AN815" s="26"/>
      <c r="AO815" s="26"/>
      <c r="AP815" s="26"/>
    </row>
    <row r="816" spans="1:42" ht="12.75" customHeight="1" x14ac:dyDescent="0.2">
      <c r="A816" s="5"/>
      <c r="B816" s="5"/>
      <c r="C816" s="5"/>
      <c r="E816" s="5"/>
      <c r="F816" s="5"/>
      <c r="N816" s="5"/>
      <c r="O816" s="5"/>
      <c r="X816" s="4"/>
      <c r="Y816" s="4"/>
      <c r="Z816" s="4"/>
      <c r="AA816" s="4"/>
      <c r="AB816" s="4"/>
      <c r="AC816" s="4"/>
      <c r="AD816" s="4"/>
      <c r="AE816" s="25"/>
      <c r="AF816" s="4"/>
      <c r="AG816" s="4"/>
      <c r="AH816" s="4"/>
      <c r="AI816" s="4"/>
      <c r="AM816" s="26"/>
      <c r="AN816" s="26"/>
      <c r="AO816" s="26"/>
      <c r="AP816" s="26"/>
    </row>
    <row r="817" spans="1:42" ht="12.75" customHeight="1" x14ac:dyDescent="0.2">
      <c r="A817" s="5"/>
      <c r="B817" s="5"/>
      <c r="C817" s="5"/>
      <c r="E817" s="5"/>
      <c r="F817" s="5"/>
      <c r="N817" s="5"/>
      <c r="O817" s="5"/>
      <c r="X817" s="4"/>
      <c r="Y817" s="4"/>
      <c r="Z817" s="4"/>
      <c r="AA817" s="4"/>
      <c r="AB817" s="4"/>
      <c r="AC817" s="4"/>
      <c r="AD817" s="4"/>
      <c r="AE817" s="25"/>
      <c r="AF817" s="4"/>
      <c r="AG817" s="4"/>
      <c r="AH817" s="4"/>
      <c r="AI817" s="4"/>
      <c r="AM817" s="26"/>
      <c r="AN817" s="26"/>
      <c r="AO817" s="26"/>
      <c r="AP817" s="26"/>
    </row>
    <row r="818" spans="1:42" ht="12.75" customHeight="1" x14ac:dyDescent="0.2">
      <c r="A818" s="5"/>
      <c r="B818" s="5"/>
      <c r="C818" s="5"/>
      <c r="E818" s="5"/>
      <c r="F818" s="5"/>
      <c r="N818" s="5"/>
      <c r="O818" s="5"/>
      <c r="X818" s="4"/>
      <c r="Y818" s="4"/>
      <c r="Z818" s="4"/>
      <c r="AA818" s="4"/>
      <c r="AB818" s="4"/>
      <c r="AC818" s="4"/>
      <c r="AD818" s="4"/>
      <c r="AE818" s="25"/>
      <c r="AF818" s="4"/>
      <c r="AG818" s="4"/>
      <c r="AH818" s="4"/>
      <c r="AI818" s="4"/>
      <c r="AM818" s="26"/>
      <c r="AN818" s="26"/>
      <c r="AO818" s="26"/>
      <c r="AP818" s="26"/>
    </row>
    <row r="819" spans="1:42" ht="12.75" customHeight="1" x14ac:dyDescent="0.2">
      <c r="A819" s="5"/>
      <c r="B819" s="5"/>
      <c r="C819" s="5"/>
      <c r="E819" s="5"/>
      <c r="F819" s="5"/>
      <c r="N819" s="5"/>
      <c r="O819" s="5"/>
      <c r="X819" s="4"/>
      <c r="Y819" s="4"/>
      <c r="Z819" s="4"/>
      <c r="AA819" s="4"/>
      <c r="AB819" s="4"/>
      <c r="AC819" s="4"/>
      <c r="AD819" s="4"/>
      <c r="AE819" s="25"/>
      <c r="AF819" s="4"/>
      <c r="AG819" s="4"/>
      <c r="AH819" s="4"/>
      <c r="AI819" s="4"/>
      <c r="AM819" s="26"/>
      <c r="AN819" s="26"/>
      <c r="AO819" s="26"/>
      <c r="AP819" s="26"/>
    </row>
    <row r="820" spans="1:42" ht="12.75" customHeight="1" x14ac:dyDescent="0.2">
      <c r="A820" s="5"/>
      <c r="B820" s="5"/>
      <c r="C820" s="5"/>
      <c r="E820" s="5"/>
      <c r="F820" s="5"/>
      <c r="N820" s="5"/>
      <c r="O820" s="5"/>
      <c r="X820" s="4"/>
      <c r="Y820" s="4"/>
      <c r="Z820" s="4"/>
      <c r="AA820" s="4"/>
      <c r="AB820" s="4"/>
      <c r="AC820" s="4"/>
      <c r="AD820" s="4"/>
      <c r="AE820" s="25"/>
      <c r="AF820" s="4"/>
      <c r="AG820" s="4"/>
      <c r="AH820" s="4"/>
      <c r="AI820" s="4"/>
      <c r="AM820" s="26"/>
      <c r="AN820" s="26"/>
      <c r="AO820" s="26"/>
      <c r="AP820" s="26"/>
    </row>
    <row r="821" spans="1:42" ht="12.75" customHeight="1" x14ac:dyDescent="0.2">
      <c r="A821" s="5"/>
      <c r="B821" s="5"/>
      <c r="C821" s="5"/>
      <c r="E821" s="5"/>
      <c r="F821" s="5"/>
      <c r="N821" s="5"/>
      <c r="O821" s="5"/>
      <c r="X821" s="4"/>
      <c r="Y821" s="4"/>
      <c r="Z821" s="4"/>
      <c r="AA821" s="4"/>
      <c r="AB821" s="4"/>
      <c r="AC821" s="4"/>
      <c r="AD821" s="4"/>
      <c r="AE821" s="25"/>
      <c r="AF821" s="4"/>
      <c r="AG821" s="4"/>
      <c r="AH821" s="4"/>
      <c r="AI821" s="4"/>
      <c r="AM821" s="26"/>
      <c r="AN821" s="26"/>
      <c r="AO821" s="26"/>
      <c r="AP821" s="26"/>
    </row>
    <row r="822" spans="1:42" ht="12.75" customHeight="1" x14ac:dyDescent="0.2">
      <c r="A822" s="5"/>
      <c r="B822" s="5"/>
      <c r="C822" s="5"/>
      <c r="E822" s="5"/>
      <c r="F822" s="5"/>
      <c r="N822" s="5"/>
      <c r="O822" s="5"/>
      <c r="X822" s="4"/>
      <c r="Y822" s="4"/>
      <c r="Z822" s="4"/>
      <c r="AA822" s="4"/>
      <c r="AB822" s="4"/>
      <c r="AC822" s="4"/>
      <c r="AD822" s="4"/>
      <c r="AE822" s="25"/>
      <c r="AF822" s="4"/>
      <c r="AG822" s="4"/>
      <c r="AH822" s="4"/>
      <c r="AI822" s="4"/>
      <c r="AM822" s="26"/>
      <c r="AN822" s="26"/>
      <c r="AO822" s="26"/>
      <c r="AP822" s="26"/>
    </row>
    <row r="823" spans="1:42" ht="12.75" customHeight="1" x14ac:dyDescent="0.2">
      <c r="A823" s="5"/>
      <c r="B823" s="5"/>
      <c r="C823" s="5"/>
      <c r="E823" s="5"/>
      <c r="F823" s="5"/>
      <c r="N823" s="5"/>
      <c r="O823" s="5"/>
      <c r="X823" s="4"/>
      <c r="Y823" s="4"/>
      <c r="Z823" s="4"/>
      <c r="AA823" s="4"/>
      <c r="AB823" s="4"/>
      <c r="AC823" s="4"/>
      <c r="AD823" s="4"/>
      <c r="AE823" s="25"/>
      <c r="AF823" s="4"/>
      <c r="AG823" s="4"/>
      <c r="AH823" s="4"/>
      <c r="AI823" s="4"/>
      <c r="AM823" s="26"/>
      <c r="AN823" s="26"/>
      <c r="AO823" s="26"/>
      <c r="AP823" s="26"/>
    </row>
    <row r="824" spans="1:42" ht="12.75" customHeight="1" x14ac:dyDescent="0.2">
      <c r="A824" s="5"/>
      <c r="B824" s="5"/>
      <c r="C824" s="5"/>
      <c r="E824" s="5"/>
      <c r="F824" s="5"/>
      <c r="N824" s="5"/>
      <c r="O824" s="5"/>
      <c r="X824" s="4"/>
      <c r="Y824" s="4"/>
      <c r="Z824" s="4"/>
      <c r="AA824" s="4"/>
      <c r="AB824" s="4"/>
      <c r="AC824" s="4"/>
      <c r="AD824" s="4"/>
      <c r="AE824" s="25"/>
      <c r="AF824" s="4"/>
      <c r="AG824" s="4"/>
      <c r="AH824" s="4"/>
      <c r="AI824" s="4"/>
      <c r="AM824" s="26"/>
      <c r="AN824" s="26"/>
      <c r="AO824" s="26"/>
      <c r="AP824" s="26"/>
    </row>
    <row r="825" spans="1:42" ht="12.75" customHeight="1" x14ac:dyDescent="0.2">
      <c r="A825" s="5"/>
      <c r="B825" s="5"/>
      <c r="C825" s="5"/>
      <c r="E825" s="5"/>
      <c r="F825" s="5"/>
      <c r="N825" s="5"/>
      <c r="O825" s="5"/>
      <c r="X825" s="4"/>
      <c r="Y825" s="4"/>
      <c r="Z825" s="4"/>
      <c r="AA825" s="4"/>
      <c r="AB825" s="4"/>
      <c r="AC825" s="4"/>
      <c r="AD825" s="4"/>
      <c r="AE825" s="25"/>
      <c r="AF825" s="4"/>
      <c r="AG825" s="4"/>
      <c r="AH825" s="4"/>
      <c r="AI825" s="4"/>
      <c r="AM825" s="26"/>
      <c r="AN825" s="26"/>
      <c r="AO825" s="26"/>
      <c r="AP825" s="26"/>
    </row>
    <row r="826" spans="1:42" ht="12.75" customHeight="1" x14ac:dyDescent="0.2">
      <c r="A826" s="5"/>
      <c r="B826" s="5"/>
      <c r="C826" s="5"/>
      <c r="E826" s="5"/>
      <c r="F826" s="5"/>
      <c r="N826" s="5"/>
      <c r="O826" s="5"/>
      <c r="X826" s="4"/>
      <c r="Y826" s="4"/>
      <c r="Z826" s="4"/>
      <c r="AA826" s="4"/>
      <c r="AB826" s="4"/>
      <c r="AC826" s="4"/>
      <c r="AD826" s="4"/>
      <c r="AE826" s="25"/>
      <c r="AF826" s="4"/>
      <c r="AG826" s="4"/>
      <c r="AH826" s="4"/>
      <c r="AI826" s="4"/>
      <c r="AM826" s="26"/>
      <c r="AN826" s="26"/>
      <c r="AO826" s="26"/>
      <c r="AP826" s="26"/>
    </row>
    <row r="827" spans="1:42" ht="12.75" customHeight="1" x14ac:dyDescent="0.2">
      <c r="A827" s="5"/>
      <c r="B827" s="5"/>
      <c r="C827" s="5"/>
      <c r="E827" s="5"/>
      <c r="F827" s="5"/>
      <c r="N827" s="5"/>
      <c r="O827" s="5"/>
      <c r="X827" s="4"/>
      <c r="Y827" s="4"/>
      <c r="Z827" s="4"/>
      <c r="AA827" s="4"/>
      <c r="AB827" s="4"/>
      <c r="AC827" s="4"/>
      <c r="AD827" s="4"/>
      <c r="AE827" s="25"/>
      <c r="AF827" s="4"/>
      <c r="AG827" s="4"/>
      <c r="AH827" s="4"/>
      <c r="AI827" s="4"/>
      <c r="AM827" s="26"/>
      <c r="AN827" s="26"/>
      <c r="AO827" s="26"/>
      <c r="AP827" s="26"/>
    </row>
    <row r="828" spans="1:42" ht="12.75" customHeight="1" x14ac:dyDescent="0.2">
      <c r="A828" s="5"/>
      <c r="B828" s="5"/>
      <c r="C828" s="5"/>
      <c r="E828" s="5"/>
      <c r="F828" s="5"/>
      <c r="N828" s="5"/>
      <c r="O828" s="5"/>
      <c r="X828" s="4"/>
      <c r="Y828" s="4"/>
      <c r="Z828" s="4"/>
      <c r="AA828" s="4"/>
      <c r="AB828" s="4"/>
      <c r="AC828" s="4"/>
      <c r="AD828" s="4"/>
      <c r="AE828" s="25"/>
      <c r="AF828" s="4"/>
      <c r="AG828" s="4"/>
      <c r="AH828" s="4"/>
      <c r="AI828" s="4"/>
      <c r="AM828" s="26"/>
      <c r="AN828" s="26"/>
      <c r="AO828" s="26"/>
      <c r="AP828" s="26"/>
    </row>
    <row r="829" spans="1:42" ht="12.75" customHeight="1" x14ac:dyDescent="0.2">
      <c r="A829" s="5"/>
      <c r="B829" s="5"/>
      <c r="C829" s="5"/>
      <c r="E829" s="5"/>
      <c r="F829" s="5"/>
      <c r="N829" s="5"/>
      <c r="O829" s="5"/>
      <c r="X829" s="4"/>
      <c r="Y829" s="4"/>
      <c r="Z829" s="4"/>
      <c r="AA829" s="4"/>
      <c r="AB829" s="4"/>
      <c r="AC829" s="4"/>
      <c r="AD829" s="4"/>
      <c r="AE829" s="25"/>
      <c r="AF829" s="4"/>
      <c r="AG829" s="4"/>
      <c r="AH829" s="4"/>
      <c r="AI829" s="4"/>
      <c r="AM829" s="26"/>
      <c r="AN829" s="26"/>
      <c r="AO829" s="26"/>
      <c r="AP829" s="26"/>
    </row>
    <row r="830" spans="1:42" ht="12.75" customHeight="1" x14ac:dyDescent="0.2">
      <c r="A830" s="5"/>
      <c r="B830" s="5"/>
      <c r="C830" s="5"/>
      <c r="E830" s="5"/>
      <c r="F830" s="5"/>
      <c r="N830" s="5"/>
      <c r="O830" s="5"/>
      <c r="X830" s="4"/>
      <c r="Y830" s="4"/>
      <c r="Z830" s="4"/>
      <c r="AA830" s="4"/>
      <c r="AB830" s="4"/>
      <c r="AC830" s="4"/>
      <c r="AD830" s="4"/>
      <c r="AE830" s="25"/>
      <c r="AF830" s="4"/>
      <c r="AG830" s="4"/>
      <c r="AH830" s="4"/>
      <c r="AI830" s="4"/>
      <c r="AM830" s="26"/>
      <c r="AN830" s="26"/>
      <c r="AO830" s="26"/>
      <c r="AP830" s="26"/>
    </row>
    <row r="831" spans="1:42" ht="12.75" customHeight="1" x14ac:dyDescent="0.2">
      <c r="A831" s="5"/>
      <c r="B831" s="5"/>
      <c r="C831" s="5"/>
      <c r="E831" s="5"/>
      <c r="F831" s="5"/>
      <c r="N831" s="5"/>
      <c r="O831" s="5"/>
      <c r="X831" s="4"/>
      <c r="Y831" s="4"/>
      <c r="Z831" s="4"/>
      <c r="AA831" s="4"/>
      <c r="AB831" s="4"/>
      <c r="AC831" s="4"/>
      <c r="AD831" s="4"/>
      <c r="AE831" s="25"/>
      <c r="AF831" s="4"/>
      <c r="AG831" s="4"/>
      <c r="AH831" s="4"/>
      <c r="AI831" s="4"/>
      <c r="AM831" s="26"/>
      <c r="AN831" s="26"/>
      <c r="AO831" s="26"/>
      <c r="AP831" s="26"/>
    </row>
    <row r="832" spans="1:42" ht="12.75" customHeight="1" x14ac:dyDescent="0.2">
      <c r="A832" s="5"/>
      <c r="B832" s="5"/>
      <c r="C832" s="5"/>
      <c r="E832" s="5"/>
      <c r="F832" s="5"/>
      <c r="N832" s="5"/>
      <c r="O832" s="5"/>
      <c r="X832" s="4"/>
      <c r="Y832" s="4"/>
      <c r="Z832" s="4"/>
      <c r="AA832" s="4"/>
      <c r="AB832" s="4"/>
      <c r="AC832" s="4"/>
      <c r="AD832" s="4"/>
      <c r="AE832" s="25"/>
      <c r="AF832" s="4"/>
      <c r="AG832" s="4"/>
      <c r="AH832" s="4"/>
      <c r="AI832" s="4"/>
      <c r="AM832" s="26"/>
      <c r="AN832" s="26"/>
      <c r="AO832" s="26"/>
      <c r="AP832" s="26"/>
    </row>
    <row r="833" spans="1:42" ht="12.75" customHeight="1" x14ac:dyDescent="0.2">
      <c r="A833" s="5"/>
      <c r="B833" s="5"/>
      <c r="C833" s="5"/>
      <c r="E833" s="5"/>
      <c r="F833" s="5"/>
      <c r="N833" s="5"/>
      <c r="O833" s="5"/>
      <c r="X833" s="4"/>
      <c r="Y833" s="4"/>
      <c r="Z833" s="4"/>
      <c r="AA833" s="4"/>
      <c r="AB833" s="4"/>
      <c r="AC833" s="4"/>
      <c r="AD833" s="4"/>
      <c r="AE833" s="25"/>
      <c r="AF833" s="4"/>
      <c r="AG833" s="4"/>
      <c r="AH833" s="4"/>
      <c r="AI833" s="4"/>
      <c r="AM833" s="26"/>
      <c r="AN833" s="26"/>
      <c r="AO833" s="26"/>
      <c r="AP833" s="26"/>
    </row>
    <row r="834" spans="1:42" ht="12.75" customHeight="1" x14ac:dyDescent="0.2">
      <c r="A834" s="5"/>
      <c r="B834" s="5"/>
      <c r="C834" s="5"/>
      <c r="E834" s="5"/>
      <c r="F834" s="5"/>
      <c r="N834" s="5"/>
      <c r="O834" s="5"/>
      <c r="X834" s="4"/>
      <c r="Y834" s="4"/>
      <c r="Z834" s="4"/>
      <c r="AA834" s="4"/>
      <c r="AB834" s="4"/>
      <c r="AC834" s="4"/>
      <c r="AD834" s="4"/>
      <c r="AE834" s="25"/>
      <c r="AF834" s="4"/>
      <c r="AG834" s="4"/>
      <c r="AH834" s="4"/>
      <c r="AI834" s="4"/>
      <c r="AM834" s="26"/>
      <c r="AN834" s="26"/>
      <c r="AO834" s="26"/>
      <c r="AP834" s="26"/>
    </row>
    <row r="835" spans="1:42" ht="12.75" customHeight="1" x14ac:dyDescent="0.2">
      <c r="A835" s="5"/>
      <c r="B835" s="5"/>
      <c r="C835" s="5"/>
      <c r="E835" s="5"/>
      <c r="F835" s="5"/>
      <c r="N835" s="5"/>
      <c r="O835" s="5"/>
      <c r="X835" s="4"/>
      <c r="Y835" s="4"/>
      <c r="Z835" s="4"/>
      <c r="AA835" s="4"/>
      <c r="AB835" s="4"/>
      <c r="AC835" s="4"/>
      <c r="AD835" s="4"/>
      <c r="AE835" s="25"/>
      <c r="AF835" s="4"/>
      <c r="AG835" s="4"/>
      <c r="AH835" s="4"/>
      <c r="AI835" s="4"/>
      <c r="AM835" s="26"/>
      <c r="AN835" s="26"/>
      <c r="AO835" s="26"/>
      <c r="AP835" s="26"/>
    </row>
    <row r="836" spans="1:42" ht="12.75" customHeight="1" x14ac:dyDescent="0.2">
      <c r="A836" s="5"/>
      <c r="B836" s="5"/>
      <c r="C836" s="5"/>
      <c r="E836" s="5"/>
      <c r="F836" s="5"/>
      <c r="N836" s="5"/>
      <c r="O836" s="5"/>
      <c r="X836" s="4"/>
      <c r="Y836" s="4"/>
      <c r="Z836" s="4"/>
      <c r="AA836" s="4"/>
      <c r="AB836" s="4"/>
      <c r="AC836" s="4"/>
      <c r="AD836" s="4"/>
      <c r="AE836" s="25"/>
      <c r="AF836" s="4"/>
      <c r="AG836" s="4"/>
      <c r="AH836" s="4"/>
      <c r="AI836" s="4"/>
      <c r="AM836" s="26"/>
      <c r="AN836" s="26"/>
      <c r="AO836" s="26"/>
      <c r="AP836" s="26"/>
    </row>
    <row r="837" spans="1:42" ht="12.75" customHeight="1" x14ac:dyDescent="0.2">
      <c r="A837" s="5"/>
      <c r="B837" s="5"/>
      <c r="C837" s="5"/>
      <c r="E837" s="5"/>
      <c r="F837" s="5"/>
      <c r="N837" s="5"/>
      <c r="O837" s="5"/>
      <c r="X837" s="4"/>
      <c r="Y837" s="4"/>
      <c r="Z837" s="4"/>
      <c r="AA837" s="4"/>
      <c r="AB837" s="4"/>
      <c r="AC837" s="4"/>
      <c r="AD837" s="4"/>
      <c r="AE837" s="25"/>
      <c r="AF837" s="4"/>
      <c r="AG837" s="4"/>
      <c r="AH837" s="4"/>
      <c r="AI837" s="4"/>
      <c r="AM837" s="26"/>
      <c r="AN837" s="26"/>
      <c r="AO837" s="26"/>
      <c r="AP837" s="26"/>
    </row>
    <row r="838" spans="1:42" ht="12.75" customHeight="1" x14ac:dyDescent="0.2">
      <c r="A838" s="5"/>
      <c r="B838" s="5"/>
      <c r="C838" s="5"/>
      <c r="E838" s="5"/>
      <c r="F838" s="5"/>
      <c r="N838" s="5"/>
      <c r="O838" s="5"/>
      <c r="X838" s="4"/>
      <c r="Y838" s="4"/>
      <c r="Z838" s="4"/>
      <c r="AA838" s="4"/>
      <c r="AB838" s="4"/>
      <c r="AC838" s="4"/>
      <c r="AD838" s="4"/>
      <c r="AE838" s="25"/>
      <c r="AF838" s="4"/>
      <c r="AG838" s="4"/>
      <c r="AH838" s="4"/>
      <c r="AI838" s="4"/>
      <c r="AM838" s="26"/>
      <c r="AN838" s="26"/>
      <c r="AO838" s="26"/>
      <c r="AP838" s="26"/>
    </row>
    <row r="839" spans="1:42" ht="12.75" customHeight="1" x14ac:dyDescent="0.2">
      <c r="A839" s="5"/>
      <c r="B839" s="5"/>
      <c r="C839" s="5"/>
      <c r="E839" s="5"/>
      <c r="F839" s="5"/>
      <c r="N839" s="5"/>
      <c r="O839" s="5"/>
      <c r="X839" s="4"/>
      <c r="Y839" s="4"/>
      <c r="Z839" s="4"/>
      <c r="AA839" s="4"/>
      <c r="AB839" s="4"/>
      <c r="AC839" s="4"/>
      <c r="AD839" s="4"/>
      <c r="AE839" s="25"/>
      <c r="AF839" s="4"/>
      <c r="AG839" s="4"/>
      <c r="AH839" s="4"/>
      <c r="AI839" s="4"/>
      <c r="AM839" s="26"/>
      <c r="AN839" s="26"/>
      <c r="AO839" s="26"/>
      <c r="AP839" s="26"/>
    </row>
    <row r="840" spans="1:42" ht="12.75" customHeight="1" x14ac:dyDescent="0.2">
      <c r="A840" s="5"/>
      <c r="B840" s="5"/>
      <c r="C840" s="5"/>
      <c r="E840" s="5"/>
      <c r="F840" s="5"/>
      <c r="N840" s="5"/>
      <c r="O840" s="5"/>
      <c r="X840" s="4"/>
      <c r="Y840" s="4"/>
      <c r="Z840" s="4"/>
      <c r="AA840" s="4"/>
      <c r="AB840" s="4"/>
      <c r="AC840" s="4"/>
      <c r="AD840" s="4"/>
      <c r="AE840" s="25"/>
      <c r="AF840" s="4"/>
      <c r="AG840" s="4"/>
      <c r="AH840" s="4"/>
      <c r="AI840" s="4"/>
      <c r="AM840" s="26"/>
      <c r="AN840" s="26"/>
      <c r="AO840" s="26"/>
      <c r="AP840" s="26"/>
    </row>
    <row r="841" spans="1:42" ht="12.75" customHeight="1" x14ac:dyDescent="0.2">
      <c r="A841" s="5"/>
      <c r="B841" s="5"/>
      <c r="C841" s="5"/>
      <c r="E841" s="5"/>
      <c r="F841" s="5"/>
      <c r="N841" s="5"/>
      <c r="O841" s="5"/>
      <c r="X841" s="4"/>
      <c r="Y841" s="4"/>
      <c r="Z841" s="4"/>
      <c r="AA841" s="4"/>
      <c r="AB841" s="4"/>
      <c r="AC841" s="4"/>
      <c r="AD841" s="4"/>
      <c r="AE841" s="25"/>
      <c r="AF841" s="4"/>
      <c r="AG841" s="4"/>
      <c r="AH841" s="4"/>
      <c r="AI841" s="4"/>
      <c r="AM841" s="26"/>
      <c r="AN841" s="26"/>
      <c r="AO841" s="26"/>
      <c r="AP841" s="26"/>
    </row>
    <row r="842" spans="1:42" ht="12.75" customHeight="1" x14ac:dyDescent="0.2">
      <c r="A842" s="5"/>
      <c r="B842" s="5"/>
      <c r="C842" s="5"/>
      <c r="E842" s="5"/>
      <c r="F842" s="5"/>
      <c r="N842" s="5"/>
      <c r="O842" s="5"/>
      <c r="X842" s="4"/>
      <c r="Y842" s="4"/>
      <c r="Z842" s="4"/>
      <c r="AA842" s="4"/>
      <c r="AB842" s="4"/>
      <c r="AC842" s="4"/>
      <c r="AD842" s="4"/>
      <c r="AE842" s="25"/>
      <c r="AF842" s="4"/>
      <c r="AG842" s="4"/>
      <c r="AH842" s="4"/>
      <c r="AI842" s="4"/>
      <c r="AM842" s="26"/>
      <c r="AN842" s="26"/>
      <c r="AO842" s="26"/>
      <c r="AP842" s="26"/>
    </row>
    <row r="843" spans="1:42" ht="12.75" customHeight="1" x14ac:dyDescent="0.2">
      <c r="A843" s="5"/>
      <c r="B843" s="5"/>
      <c r="C843" s="5"/>
      <c r="E843" s="5"/>
      <c r="F843" s="5"/>
      <c r="N843" s="5"/>
      <c r="O843" s="5"/>
      <c r="X843" s="4"/>
      <c r="Y843" s="4"/>
      <c r="Z843" s="4"/>
      <c r="AA843" s="4"/>
      <c r="AB843" s="4"/>
      <c r="AC843" s="4"/>
      <c r="AD843" s="4"/>
      <c r="AE843" s="25"/>
      <c r="AF843" s="4"/>
      <c r="AG843" s="4"/>
      <c r="AH843" s="4"/>
      <c r="AI843" s="4"/>
      <c r="AM843" s="26"/>
      <c r="AN843" s="26"/>
      <c r="AO843" s="26"/>
      <c r="AP843" s="26"/>
    </row>
    <row r="844" spans="1:42" ht="12.75" customHeight="1" x14ac:dyDescent="0.2">
      <c r="A844" s="5"/>
      <c r="B844" s="5"/>
      <c r="C844" s="5"/>
      <c r="E844" s="5"/>
      <c r="F844" s="5"/>
      <c r="N844" s="5"/>
      <c r="O844" s="5"/>
      <c r="X844" s="4"/>
      <c r="Y844" s="4"/>
      <c r="Z844" s="4"/>
      <c r="AA844" s="4"/>
      <c r="AB844" s="4"/>
      <c r="AC844" s="4"/>
      <c r="AD844" s="4"/>
      <c r="AE844" s="25"/>
      <c r="AF844" s="4"/>
      <c r="AG844" s="4"/>
      <c r="AH844" s="4"/>
      <c r="AI844" s="4"/>
      <c r="AM844" s="26"/>
      <c r="AN844" s="26"/>
      <c r="AO844" s="26"/>
      <c r="AP844" s="26"/>
    </row>
    <row r="845" spans="1:42" ht="12.75" customHeight="1" x14ac:dyDescent="0.2">
      <c r="A845" s="5"/>
      <c r="B845" s="5"/>
      <c r="C845" s="5"/>
      <c r="E845" s="5"/>
      <c r="F845" s="5"/>
      <c r="N845" s="5"/>
      <c r="O845" s="5"/>
      <c r="X845" s="4"/>
      <c r="Y845" s="4"/>
      <c r="Z845" s="4"/>
      <c r="AA845" s="4"/>
      <c r="AB845" s="4"/>
      <c r="AC845" s="4"/>
      <c r="AD845" s="4"/>
      <c r="AE845" s="25"/>
      <c r="AF845" s="4"/>
      <c r="AG845" s="4"/>
      <c r="AH845" s="4"/>
      <c r="AI845" s="4"/>
      <c r="AM845" s="26"/>
      <c r="AN845" s="26"/>
      <c r="AO845" s="26"/>
      <c r="AP845" s="26"/>
    </row>
    <row r="846" spans="1:42" ht="12.75" customHeight="1" x14ac:dyDescent="0.2">
      <c r="A846" s="5"/>
      <c r="B846" s="5"/>
      <c r="C846" s="5"/>
      <c r="E846" s="5"/>
      <c r="F846" s="5"/>
      <c r="N846" s="5"/>
      <c r="O846" s="5"/>
      <c r="X846" s="4"/>
      <c r="Y846" s="4"/>
      <c r="Z846" s="4"/>
      <c r="AA846" s="4"/>
      <c r="AB846" s="4"/>
      <c r="AC846" s="4"/>
      <c r="AD846" s="4"/>
      <c r="AE846" s="25"/>
      <c r="AF846" s="4"/>
      <c r="AG846" s="4"/>
      <c r="AH846" s="4"/>
      <c r="AI846" s="4"/>
      <c r="AM846" s="26"/>
      <c r="AN846" s="26"/>
      <c r="AO846" s="26"/>
      <c r="AP846" s="26"/>
    </row>
    <row r="847" spans="1:42" ht="12.75" customHeight="1" x14ac:dyDescent="0.2">
      <c r="A847" s="5"/>
      <c r="B847" s="5"/>
      <c r="C847" s="5"/>
      <c r="E847" s="5"/>
      <c r="F847" s="5"/>
      <c r="N847" s="5"/>
      <c r="O847" s="5"/>
      <c r="X847" s="4"/>
      <c r="Y847" s="4"/>
      <c r="Z847" s="4"/>
      <c r="AA847" s="4"/>
      <c r="AB847" s="4"/>
      <c r="AC847" s="4"/>
      <c r="AD847" s="4"/>
      <c r="AE847" s="25"/>
      <c r="AF847" s="4"/>
      <c r="AG847" s="4"/>
      <c r="AH847" s="4"/>
      <c r="AI847" s="4"/>
      <c r="AM847" s="26"/>
      <c r="AN847" s="26"/>
      <c r="AO847" s="26"/>
      <c r="AP847" s="26"/>
    </row>
    <row r="848" spans="1:42" ht="12.75" customHeight="1" x14ac:dyDescent="0.2">
      <c r="A848" s="5"/>
      <c r="B848" s="5"/>
      <c r="C848" s="5"/>
      <c r="E848" s="5"/>
      <c r="F848" s="5"/>
      <c r="N848" s="5"/>
      <c r="O848" s="5"/>
      <c r="X848" s="4"/>
      <c r="Y848" s="4"/>
      <c r="Z848" s="4"/>
      <c r="AA848" s="4"/>
      <c r="AB848" s="4"/>
      <c r="AC848" s="4"/>
      <c r="AD848" s="4"/>
      <c r="AE848" s="25"/>
      <c r="AF848" s="4"/>
      <c r="AG848" s="4"/>
      <c r="AH848" s="4"/>
      <c r="AI848" s="4"/>
      <c r="AM848" s="26"/>
      <c r="AN848" s="26"/>
      <c r="AO848" s="26"/>
      <c r="AP848" s="26"/>
    </row>
    <row r="849" spans="1:42" ht="12.75" customHeight="1" x14ac:dyDescent="0.2">
      <c r="A849" s="5"/>
      <c r="B849" s="5"/>
      <c r="C849" s="5"/>
      <c r="E849" s="5"/>
      <c r="F849" s="5"/>
      <c r="N849" s="5"/>
      <c r="O849" s="5"/>
      <c r="X849" s="4"/>
      <c r="Y849" s="4"/>
      <c r="Z849" s="4"/>
      <c r="AA849" s="4"/>
      <c r="AB849" s="4"/>
      <c r="AC849" s="4"/>
      <c r="AD849" s="4"/>
      <c r="AE849" s="25"/>
      <c r="AF849" s="4"/>
      <c r="AG849" s="4"/>
      <c r="AH849" s="4"/>
      <c r="AI849" s="4"/>
      <c r="AM849" s="26"/>
      <c r="AN849" s="26"/>
      <c r="AO849" s="26"/>
      <c r="AP849" s="26"/>
    </row>
    <row r="850" spans="1:42" ht="12.75" customHeight="1" x14ac:dyDescent="0.2">
      <c r="A850" s="5"/>
      <c r="B850" s="5"/>
      <c r="C850" s="5"/>
      <c r="E850" s="5"/>
      <c r="F850" s="5"/>
      <c r="N850" s="5"/>
      <c r="O850" s="5"/>
      <c r="X850" s="4"/>
      <c r="Y850" s="4"/>
      <c r="Z850" s="4"/>
      <c r="AA850" s="4"/>
      <c r="AB850" s="4"/>
      <c r="AC850" s="4"/>
      <c r="AD850" s="4"/>
      <c r="AE850" s="25"/>
      <c r="AF850" s="4"/>
      <c r="AG850" s="4"/>
      <c r="AH850" s="4"/>
      <c r="AI850" s="4"/>
      <c r="AM850" s="26"/>
      <c r="AN850" s="26"/>
      <c r="AO850" s="26"/>
      <c r="AP850" s="26"/>
    </row>
    <row r="851" spans="1:42" ht="12.75" customHeight="1" x14ac:dyDescent="0.2">
      <c r="A851" s="5"/>
      <c r="B851" s="5"/>
      <c r="C851" s="5"/>
      <c r="E851" s="5"/>
      <c r="F851" s="5"/>
      <c r="N851" s="5"/>
      <c r="O851" s="5"/>
      <c r="X851" s="4"/>
      <c r="Y851" s="4"/>
      <c r="Z851" s="4"/>
      <c r="AA851" s="4"/>
      <c r="AB851" s="4"/>
      <c r="AC851" s="4"/>
      <c r="AD851" s="4"/>
      <c r="AE851" s="25"/>
      <c r="AF851" s="4"/>
      <c r="AG851" s="4"/>
      <c r="AH851" s="4"/>
      <c r="AI851" s="4"/>
      <c r="AM851" s="26"/>
      <c r="AN851" s="26"/>
      <c r="AO851" s="26"/>
      <c r="AP851" s="26"/>
    </row>
    <row r="852" spans="1:42" ht="12.75" customHeight="1" x14ac:dyDescent="0.2">
      <c r="A852" s="5"/>
      <c r="B852" s="5"/>
      <c r="C852" s="5"/>
      <c r="E852" s="5"/>
      <c r="F852" s="5"/>
      <c r="N852" s="5"/>
      <c r="O852" s="5"/>
      <c r="X852" s="4"/>
      <c r="Y852" s="4"/>
      <c r="Z852" s="4"/>
      <c r="AA852" s="4"/>
      <c r="AB852" s="4"/>
      <c r="AC852" s="4"/>
      <c r="AD852" s="4"/>
      <c r="AE852" s="25"/>
      <c r="AF852" s="4"/>
      <c r="AG852" s="4"/>
      <c r="AH852" s="4"/>
      <c r="AI852" s="4"/>
      <c r="AM852" s="26"/>
      <c r="AN852" s="26"/>
      <c r="AO852" s="26"/>
      <c r="AP852" s="26"/>
    </row>
    <row r="853" spans="1:42" ht="12.75" customHeight="1" x14ac:dyDescent="0.2">
      <c r="A853" s="5"/>
      <c r="B853" s="5"/>
      <c r="C853" s="5"/>
      <c r="E853" s="5"/>
      <c r="F853" s="5"/>
      <c r="N853" s="5"/>
      <c r="O853" s="5"/>
      <c r="X853" s="4"/>
      <c r="Y853" s="4"/>
      <c r="Z853" s="4"/>
      <c r="AA853" s="4"/>
      <c r="AB853" s="4"/>
      <c r="AC853" s="4"/>
      <c r="AD853" s="4"/>
      <c r="AE853" s="25"/>
      <c r="AF853" s="4"/>
      <c r="AG853" s="4"/>
      <c r="AH853" s="4"/>
      <c r="AI853" s="4"/>
      <c r="AM853" s="26"/>
      <c r="AN853" s="26"/>
      <c r="AO853" s="26"/>
      <c r="AP853" s="26"/>
    </row>
    <row r="854" spans="1:42" ht="12.75" customHeight="1" x14ac:dyDescent="0.2">
      <c r="A854" s="5"/>
      <c r="B854" s="5"/>
      <c r="C854" s="5"/>
      <c r="E854" s="5"/>
      <c r="F854" s="5"/>
      <c r="N854" s="5"/>
      <c r="O854" s="5"/>
      <c r="X854" s="4"/>
      <c r="Y854" s="4"/>
      <c r="Z854" s="4"/>
      <c r="AA854" s="4"/>
      <c r="AB854" s="4"/>
      <c r="AC854" s="4"/>
      <c r="AD854" s="4"/>
      <c r="AE854" s="25"/>
      <c r="AF854" s="4"/>
      <c r="AG854" s="4"/>
      <c r="AH854" s="4"/>
      <c r="AI854" s="4"/>
      <c r="AM854" s="26"/>
      <c r="AN854" s="26"/>
      <c r="AO854" s="26"/>
      <c r="AP854" s="26"/>
    </row>
    <row r="855" spans="1:42" ht="12.75" customHeight="1" x14ac:dyDescent="0.2">
      <c r="A855" s="5"/>
      <c r="B855" s="5"/>
      <c r="C855" s="5"/>
      <c r="E855" s="5"/>
      <c r="F855" s="5"/>
      <c r="N855" s="5"/>
      <c r="O855" s="5"/>
      <c r="X855" s="4"/>
      <c r="Y855" s="4"/>
      <c r="Z855" s="4"/>
      <c r="AA855" s="4"/>
      <c r="AB855" s="4"/>
      <c r="AC855" s="4"/>
      <c r="AD855" s="4"/>
      <c r="AE855" s="25"/>
      <c r="AF855" s="4"/>
      <c r="AG855" s="4"/>
      <c r="AH855" s="4"/>
      <c r="AI855" s="4"/>
      <c r="AM855" s="26"/>
      <c r="AN855" s="26"/>
      <c r="AO855" s="26"/>
      <c r="AP855" s="26"/>
    </row>
    <row r="856" spans="1:42" ht="12.75" customHeight="1" x14ac:dyDescent="0.2">
      <c r="A856" s="5"/>
      <c r="B856" s="5"/>
      <c r="C856" s="5"/>
      <c r="E856" s="5"/>
      <c r="F856" s="5"/>
      <c r="N856" s="5"/>
      <c r="O856" s="5"/>
      <c r="X856" s="4"/>
      <c r="Y856" s="4"/>
      <c r="Z856" s="4"/>
      <c r="AA856" s="4"/>
      <c r="AB856" s="4"/>
      <c r="AC856" s="4"/>
      <c r="AD856" s="4"/>
      <c r="AE856" s="25"/>
      <c r="AF856" s="4"/>
      <c r="AG856" s="4"/>
      <c r="AH856" s="4"/>
      <c r="AI856" s="4"/>
      <c r="AM856" s="26"/>
      <c r="AN856" s="26"/>
      <c r="AO856" s="26"/>
      <c r="AP856" s="26"/>
    </row>
    <row r="857" spans="1:42" ht="12.75" customHeight="1" x14ac:dyDescent="0.2">
      <c r="A857" s="5"/>
      <c r="B857" s="5"/>
      <c r="C857" s="5"/>
      <c r="E857" s="5"/>
      <c r="F857" s="5"/>
      <c r="N857" s="5"/>
      <c r="O857" s="5"/>
      <c r="X857" s="4"/>
      <c r="Y857" s="4"/>
      <c r="Z857" s="4"/>
      <c r="AA857" s="4"/>
      <c r="AB857" s="4"/>
      <c r="AC857" s="4"/>
      <c r="AD857" s="4"/>
      <c r="AE857" s="25"/>
      <c r="AF857" s="4"/>
      <c r="AG857" s="4"/>
      <c r="AH857" s="4"/>
      <c r="AI857" s="4"/>
      <c r="AM857" s="26"/>
      <c r="AN857" s="26"/>
      <c r="AO857" s="26"/>
      <c r="AP857" s="26"/>
    </row>
    <row r="858" spans="1:42" ht="12.75" customHeight="1" x14ac:dyDescent="0.2">
      <c r="A858" s="5"/>
      <c r="B858" s="5"/>
      <c r="C858" s="5"/>
      <c r="E858" s="5"/>
      <c r="F858" s="5"/>
      <c r="N858" s="5"/>
      <c r="O858" s="5"/>
      <c r="X858" s="4"/>
      <c r="Y858" s="4"/>
      <c r="Z858" s="4"/>
      <c r="AA858" s="4"/>
      <c r="AB858" s="4"/>
      <c r="AC858" s="4"/>
      <c r="AD858" s="4"/>
      <c r="AE858" s="25"/>
      <c r="AF858" s="4"/>
      <c r="AG858" s="4"/>
      <c r="AH858" s="4"/>
      <c r="AI858" s="4"/>
      <c r="AM858" s="26"/>
      <c r="AN858" s="26"/>
      <c r="AO858" s="26"/>
      <c r="AP858" s="26"/>
    </row>
    <row r="859" spans="1:42" ht="12.75" customHeight="1" x14ac:dyDescent="0.2">
      <c r="A859" s="5"/>
      <c r="B859" s="5"/>
      <c r="C859" s="5"/>
      <c r="E859" s="5"/>
      <c r="F859" s="5"/>
      <c r="N859" s="5"/>
      <c r="O859" s="5"/>
      <c r="X859" s="4"/>
      <c r="Y859" s="4"/>
      <c r="Z859" s="4"/>
      <c r="AA859" s="4"/>
      <c r="AB859" s="4"/>
      <c r="AC859" s="4"/>
      <c r="AD859" s="4"/>
      <c r="AE859" s="25"/>
      <c r="AF859" s="4"/>
      <c r="AG859" s="4"/>
      <c r="AH859" s="4"/>
      <c r="AI859" s="4"/>
      <c r="AM859" s="26"/>
      <c r="AN859" s="26"/>
      <c r="AO859" s="26"/>
      <c r="AP859" s="26"/>
    </row>
    <row r="860" spans="1:42" ht="12.75" customHeight="1" x14ac:dyDescent="0.2">
      <c r="A860" s="5"/>
      <c r="B860" s="5"/>
      <c r="C860" s="5"/>
      <c r="E860" s="5"/>
      <c r="F860" s="5"/>
      <c r="N860" s="5"/>
      <c r="O860" s="5"/>
      <c r="X860" s="4"/>
      <c r="Y860" s="4"/>
      <c r="Z860" s="4"/>
      <c r="AA860" s="4"/>
      <c r="AB860" s="4"/>
      <c r="AC860" s="4"/>
      <c r="AD860" s="4"/>
      <c r="AE860" s="25"/>
      <c r="AF860" s="4"/>
      <c r="AG860" s="4"/>
      <c r="AH860" s="4"/>
      <c r="AI860" s="4"/>
      <c r="AM860" s="26"/>
      <c r="AN860" s="26"/>
      <c r="AO860" s="26"/>
      <c r="AP860" s="26"/>
    </row>
    <row r="861" spans="1:42" ht="12.75" customHeight="1" x14ac:dyDescent="0.2">
      <c r="A861" s="5"/>
      <c r="B861" s="5"/>
      <c r="C861" s="5"/>
      <c r="E861" s="5"/>
      <c r="F861" s="5"/>
      <c r="N861" s="5"/>
      <c r="O861" s="5"/>
      <c r="X861" s="4"/>
      <c r="Y861" s="4"/>
      <c r="Z861" s="4"/>
      <c r="AA861" s="4"/>
      <c r="AB861" s="4"/>
      <c r="AC861" s="4"/>
      <c r="AD861" s="4"/>
      <c r="AE861" s="25"/>
      <c r="AF861" s="4"/>
      <c r="AG861" s="4"/>
      <c r="AH861" s="4"/>
      <c r="AI861" s="4"/>
      <c r="AM861" s="26"/>
      <c r="AN861" s="26"/>
      <c r="AO861" s="26"/>
      <c r="AP861" s="26"/>
    </row>
    <row r="862" spans="1:42" ht="12.75" customHeight="1" x14ac:dyDescent="0.2">
      <c r="A862" s="5"/>
      <c r="B862" s="5"/>
      <c r="C862" s="5"/>
      <c r="E862" s="5"/>
      <c r="F862" s="5"/>
      <c r="N862" s="5"/>
      <c r="O862" s="5"/>
      <c r="X862" s="4"/>
      <c r="Y862" s="4"/>
      <c r="Z862" s="4"/>
      <c r="AA862" s="4"/>
      <c r="AB862" s="4"/>
      <c r="AC862" s="4"/>
      <c r="AD862" s="4"/>
      <c r="AE862" s="25"/>
      <c r="AF862" s="4"/>
      <c r="AG862" s="4"/>
      <c r="AH862" s="4"/>
      <c r="AI862" s="4"/>
      <c r="AM862" s="26"/>
      <c r="AN862" s="26"/>
      <c r="AO862" s="26"/>
      <c r="AP862" s="26"/>
    </row>
    <row r="863" spans="1:42" ht="12.75" customHeight="1" x14ac:dyDescent="0.2">
      <c r="A863" s="5"/>
      <c r="B863" s="5"/>
      <c r="C863" s="5"/>
      <c r="E863" s="5"/>
      <c r="F863" s="5"/>
      <c r="N863" s="5"/>
      <c r="O863" s="5"/>
      <c r="X863" s="4"/>
      <c r="Y863" s="4"/>
      <c r="Z863" s="4"/>
      <c r="AA863" s="4"/>
      <c r="AB863" s="4"/>
      <c r="AC863" s="4"/>
      <c r="AD863" s="4"/>
      <c r="AE863" s="25"/>
      <c r="AF863" s="4"/>
      <c r="AG863" s="4"/>
      <c r="AH863" s="4"/>
      <c r="AI863" s="4"/>
      <c r="AM863" s="26"/>
      <c r="AN863" s="26"/>
      <c r="AO863" s="26"/>
      <c r="AP863" s="26"/>
    </row>
    <row r="864" spans="1:42" ht="12.75" customHeight="1" x14ac:dyDescent="0.2">
      <c r="A864" s="5"/>
      <c r="B864" s="5"/>
      <c r="C864" s="5"/>
      <c r="E864" s="5"/>
      <c r="F864" s="5"/>
      <c r="N864" s="5"/>
      <c r="O864" s="5"/>
      <c r="X864" s="4"/>
      <c r="Y864" s="4"/>
      <c r="Z864" s="4"/>
      <c r="AA864" s="4"/>
      <c r="AB864" s="4"/>
      <c r="AC864" s="4"/>
      <c r="AD864" s="4"/>
      <c r="AE864" s="25"/>
      <c r="AF864" s="4"/>
      <c r="AG864" s="4"/>
      <c r="AH864" s="4"/>
      <c r="AI864" s="4"/>
      <c r="AM864" s="26"/>
      <c r="AN864" s="26"/>
      <c r="AO864" s="26"/>
      <c r="AP864" s="26"/>
    </row>
    <row r="865" spans="1:42" ht="12.75" customHeight="1" x14ac:dyDescent="0.2">
      <c r="A865" s="5"/>
      <c r="B865" s="5"/>
      <c r="C865" s="5"/>
      <c r="E865" s="5"/>
      <c r="F865" s="5"/>
      <c r="N865" s="5"/>
      <c r="O865" s="5"/>
      <c r="X865" s="4"/>
      <c r="Y865" s="4"/>
      <c r="Z865" s="4"/>
      <c r="AA865" s="4"/>
      <c r="AB865" s="4"/>
      <c r="AC865" s="4"/>
      <c r="AD865" s="4"/>
      <c r="AE865" s="25"/>
      <c r="AF865" s="4"/>
      <c r="AG865" s="4"/>
      <c r="AH865" s="4"/>
      <c r="AI865" s="4"/>
      <c r="AM865" s="26"/>
      <c r="AN865" s="26"/>
      <c r="AO865" s="26"/>
      <c r="AP865" s="26"/>
    </row>
    <row r="866" spans="1:42" ht="12.75" customHeight="1" x14ac:dyDescent="0.2">
      <c r="A866" s="5"/>
      <c r="B866" s="5"/>
      <c r="C866" s="5"/>
      <c r="E866" s="5"/>
      <c r="F866" s="5"/>
      <c r="N866" s="5"/>
      <c r="O866" s="5"/>
      <c r="X866" s="4"/>
      <c r="Y866" s="4"/>
      <c r="Z866" s="4"/>
      <c r="AA866" s="4"/>
      <c r="AB866" s="4"/>
      <c r="AC866" s="4"/>
      <c r="AD866" s="4"/>
      <c r="AE866" s="25"/>
      <c r="AF866" s="4"/>
      <c r="AG866" s="4"/>
      <c r="AH866" s="4"/>
      <c r="AI866" s="4"/>
      <c r="AM866" s="26"/>
      <c r="AN866" s="26"/>
      <c r="AO866" s="26"/>
      <c r="AP866" s="26"/>
    </row>
    <row r="867" spans="1:42" ht="12.75" customHeight="1" x14ac:dyDescent="0.2">
      <c r="A867" s="5"/>
      <c r="B867" s="5"/>
      <c r="C867" s="5"/>
      <c r="E867" s="5"/>
      <c r="F867" s="5"/>
      <c r="N867" s="5"/>
      <c r="O867" s="5"/>
      <c r="X867" s="4"/>
      <c r="Y867" s="4"/>
      <c r="Z867" s="4"/>
      <c r="AA867" s="4"/>
      <c r="AB867" s="4"/>
      <c r="AC867" s="4"/>
      <c r="AD867" s="4"/>
      <c r="AE867" s="25"/>
      <c r="AF867" s="4"/>
      <c r="AG867" s="4"/>
      <c r="AH867" s="4"/>
      <c r="AI867" s="4"/>
      <c r="AM867" s="26"/>
      <c r="AN867" s="26"/>
      <c r="AO867" s="26"/>
      <c r="AP867" s="26"/>
    </row>
    <row r="868" spans="1:42" ht="12.75" customHeight="1" x14ac:dyDescent="0.2">
      <c r="A868" s="5"/>
      <c r="B868" s="5"/>
      <c r="C868" s="5"/>
      <c r="E868" s="5"/>
      <c r="F868" s="5"/>
      <c r="N868" s="5"/>
      <c r="O868" s="5"/>
      <c r="X868" s="4"/>
      <c r="Y868" s="4"/>
      <c r="Z868" s="4"/>
      <c r="AA868" s="4"/>
      <c r="AB868" s="4"/>
      <c r="AC868" s="4"/>
      <c r="AD868" s="4"/>
      <c r="AE868" s="25"/>
      <c r="AF868" s="4"/>
      <c r="AG868" s="4"/>
      <c r="AH868" s="4"/>
      <c r="AI868" s="4"/>
      <c r="AM868" s="26"/>
      <c r="AN868" s="26"/>
      <c r="AO868" s="26"/>
      <c r="AP868" s="26"/>
    </row>
    <row r="869" spans="1:42" ht="12.75" customHeight="1" x14ac:dyDescent="0.2">
      <c r="A869" s="5"/>
      <c r="B869" s="5"/>
      <c r="C869" s="5"/>
      <c r="E869" s="5"/>
      <c r="F869" s="5"/>
      <c r="N869" s="5"/>
      <c r="O869" s="5"/>
      <c r="X869" s="4"/>
      <c r="Y869" s="4"/>
      <c r="Z869" s="4"/>
      <c r="AA869" s="4"/>
      <c r="AB869" s="4"/>
      <c r="AC869" s="4"/>
      <c r="AD869" s="4"/>
      <c r="AE869" s="25"/>
      <c r="AF869" s="4"/>
      <c r="AG869" s="4"/>
      <c r="AH869" s="4"/>
      <c r="AI869" s="4"/>
      <c r="AM869" s="26"/>
      <c r="AN869" s="26"/>
      <c r="AO869" s="26"/>
      <c r="AP869" s="26"/>
    </row>
    <row r="870" spans="1:42" ht="12.75" customHeight="1" x14ac:dyDescent="0.2">
      <c r="A870" s="5"/>
      <c r="B870" s="5"/>
      <c r="C870" s="5"/>
      <c r="E870" s="5"/>
      <c r="F870" s="5"/>
      <c r="N870" s="5"/>
      <c r="O870" s="5"/>
      <c r="X870" s="4"/>
      <c r="Y870" s="4"/>
      <c r="Z870" s="4"/>
      <c r="AA870" s="4"/>
      <c r="AB870" s="4"/>
      <c r="AC870" s="4"/>
      <c r="AD870" s="4"/>
      <c r="AE870" s="25"/>
      <c r="AF870" s="4"/>
      <c r="AG870" s="4"/>
      <c r="AH870" s="4"/>
      <c r="AI870" s="4"/>
      <c r="AM870" s="26"/>
      <c r="AN870" s="26"/>
      <c r="AO870" s="26"/>
      <c r="AP870" s="26"/>
    </row>
    <row r="871" spans="1:42" ht="12.75" customHeight="1" x14ac:dyDescent="0.2">
      <c r="A871" s="5"/>
      <c r="B871" s="5"/>
      <c r="C871" s="5"/>
      <c r="E871" s="5"/>
      <c r="F871" s="5"/>
      <c r="N871" s="5"/>
      <c r="O871" s="5"/>
      <c r="X871" s="4"/>
      <c r="Y871" s="4"/>
      <c r="Z871" s="4"/>
      <c r="AA871" s="4"/>
      <c r="AB871" s="4"/>
      <c r="AC871" s="4"/>
      <c r="AD871" s="4"/>
      <c r="AE871" s="25"/>
      <c r="AF871" s="4"/>
      <c r="AG871" s="4"/>
      <c r="AH871" s="4"/>
      <c r="AI871" s="4"/>
      <c r="AM871" s="26"/>
      <c r="AN871" s="26"/>
      <c r="AO871" s="26"/>
      <c r="AP871" s="26"/>
    </row>
    <row r="872" spans="1:42" ht="12.75" customHeight="1" x14ac:dyDescent="0.2">
      <c r="A872" s="5"/>
      <c r="B872" s="5"/>
      <c r="C872" s="5"/>
      <c r="E872" s="5"/>
      <c r="F872" s="5"/>
      <c r="N872" s="5"/>
      <c r="O872" s="5"/>
      <c r="X872" s="4"/>
      <c r="Y872" s="4"/>
      <c r="Z872" s="4"/>
      <c r="AA872" s="4"/>
      <c r="AB872" s="4"/>
      <c r="AC872" s="4"/>
      <c r="AD872" s="4"/>
      <c r="AE872" s="25"/>
      <c r="AF872" s="4"/>
      <c r="AG872" s="4"/>
      <c r="AH872" s="4"/>
      <c r="AI872" s="4"/>
      <c r="AM872" s="26"/>
      <c r="AN872" s="26"/>
      <c r="AO872" s="26"/>
      <c r="AP872" s="26"/>
    </row>
    <row r="873" spans="1:42" ht="12.75" customHeight="1" x14ac:dyDescent="0.2">
      <c r="A873" s="5"/>
      <c r="B873" s="5"/>
      <c r="C873" s="5"/>
      <c r="E873" s="5"/>
      <c r="F873" s="5"/>
      <c r="N873" s="5"/>
      <c r="O873" s="5"/>
      <c r="X873" s="4"/>
      <c r="Y873" s="4"/>
      <c r="Z873" s="4"/>
      <c r="AA873" s="4"/>
      <c r="AB873" s="4"/>
      <c r="AC873" s="4"/>
      <c r="AD873" s="4"/>
      <c r="AE873" s="25"/>
      <c r="AF873" s="4"/>
      <c r="AG873" s="4"/>
      <c r="AH873" s="4"/>
      <c r="AI873" s="4"/>
      <c r="AM873" s="26"/>
      <c r="AN873" s="26"/>
      <c r="AO873" s="26"/>
      <c r="AP873" s="26"/>
    </row>
    <row r="874" spans="1:42" ht="12.75" customHeight="1" x14ac:dyDescent="0.2">
      <c r="A874" s="5"/>
      <c r="B874" s="5"/>
      <c r="C874" s="5"/>
      <c r="E874" s="5"/>
      <c r="F874" s="5"/>
      <c r="N874" s="5"/>
      <c r="O874" s="5"/>
      <c r="X874" s="4"/>
      <c r="Y874" s="4"/>
      <c r="Z874" s="4"/>
      <c r="AA874" s="4"/>
      <c r="AB874" s="4"/>
      <c r="AC874" s="4"/>
      <c r="AD874" s="4"/>
      <c r="AE874" s="25"/>
      <c r="AF874" s="4"/>
      <c r="AG874" s="4"/>
      <c r="AH874" s="4"/>
      <c r="AI874" s="4"/>
      <c r="AM874" s="26"/>
      <c r="AN874" s="26"/>
      <c r="AO874" s="26"/>
      <c r="AP874" s="26"/>
    </row>
    <row r="875" spans="1:42" ht="12.75" customHeight="1" x14ac:dyDescent="0.2">
      <c r="A875" s="5"/>
      <c r="B875" s="5"/>
      <c r="C875" s="5"/>
      <c r="E875" s="5"/>
      <c r="F875" s="5"/>
      <c r="N875" s="5"/>
      <c r="O875" s="5"/>
      <c r="X875" s="4"/>
      <c r="Y875" s="4"/>
      <c r="Z875" s="4"/>
      <c r="AA875" s="4"/>
      <c r="AB875" s="4"/>
      <c r="AC875" s="4"/>
      <c r="AD875" s="4"/>
      <c r="AE875" s="25"/>
      <c r="AF875" s="4"/>
      <c r="AG875" s="4"/>
      <c r="AH875" s="4"/>
      <c r="AI875" s="4"/>
      <c r="AM875" s="26"/>
      <c r="AN875" s="26"/>
      <c r="AO875" s="26"/>
      <c r="AP875" s="26"/>
    </row>
    <row r="876" spans="1:42" ht="12.75" customHeight="1" x14ac:dyDescent="0.2">
      <c r="A876" s="5"/>
      <c r="B876" s="5"/>
      <c r="C876" s="5"/>
      <c r="E876" s="5"/>
      <c r="F876" s="5"/>
      <c r="N876" s="5"/>
      <c r="O876" s="5"/>
      <c r="X876" s="4"/>
      <c r="Y876" s="4"/>
      <c r="Z876" s="4"/>
      <c r="AA876" s="4"/>
      <c r="AB876" s="4"/>
      <c r="AC876" s="4"/>
      <c r="AD876" s="4"/>
      <c r="AE876" s="25"/>
      <c r="AF876" s="4"/>
      <c r="AG876" s="4"/>
      <c r="AH876" s="4"/>
      <c r="AI876" s="4"/>
      <c r="AM876" s="26"/>
      <c r="AN876" s="26"/>
      <c r="AO876" s="26"/>
      <c r="AP876" s="26"/>
    </row>
    <row r="877" spans="1:42" ht="12.75" customHeight="1" x14ac:dyDescent="0.2">
      <c r="A877" s="5"/>
      <c r="B877" s="5"/>
      <c r="C877" s="5"/>
      <c r="E877" s="5"/>
      <c r="F877" s="5"/>
      <c r="N877" s="5"/>
      <c r="O877" s="5"/>
      <c r="X877" s="4"/>
      <c r="Y877" s="4"/>
      <c r="Z877" s="4"/>
      <c r="AA877" s="4"/>
      <c r="AB877" s="4"/>
      <c r="AC877" s="4"/>
      <c r="AD877" s="4"/>
      <c r="AE877" s="25"/>
      <c r="AF877" s="4"/>
      <c r="AG877" s="4"/>
      <c r="AH877" s="4"/>
      <c r="AI877" s="4"/>
      <c r="AM877" s="26"/>
      <c r="AN877" s="26"/>
      <c r="AO877" s="26"/>
      <c r="AP877" s="26"/>
    </row>
    <row r="878" spans="1:42" ht="12.75" customHeight="1" x14ac:dyDescent="0.2">
      <c r="A878" s="5"/>
      <c r="B878" s="5"/>
      <c r="C878" s="5"/>
      <c r="E878" s="5"/>
      <c r="F878" s="5"/>
      <c r="N878" s="5"/>
      <c r="O878" s="5"/>
      <c r="X878" s="4"/>
      <c r="Y878" s="4"/>
      <c r="Z878" s="4"/>
      <c r="AA878" s="4"/>
      <c r="AB878" s="4"/>
      <c r="AC878" s="4"/>
      <c r="AD878" s="4"/>
      <c r="AE878" s="25"/>
      <c r="AF878" s="4"/>
      <c r="AG878" s="4"/>
      <c r="AH878" s="4"/>
      <c r="AI878" s="4"/>
      <c r="AM878" s="26"/>
      <c r="AN878" s="26"/>
      <c r="AO878" s="26"/>
      <c r="AP878" s="26"/>
    </row>
    <row r="879" spans="1:42" ht="12.75" customHeight="1" x14ac:dyDescent="0.2">
      <c r="A879" s="5"/>
      <c r="B879" s="5"/>
      <c r="C879" s="5"/>
      <c r="E879" s="5"/>
      <c r="F879" s="5"/>
      <c r="N879" s="5"/>
      <c r="O879" s="5"/>
      <c r="X879" s="4"/>
      <c r="Y879" s="4"/>
      <c r="Z879" s="4"/>
      <c r="AA879" s="4"/>
      <c r="AB879" s="4"/>
      <c r="AC879" s="4"/>
      <c r="AD879" s="4"/>
      <c r="AE879" s="25"/>
      <c r="AF879" s="4"/>
      <c r="AG879" s="4"/>
      <c r="AH879" s="4"/>
      <c r="AI879" s="4"/>
      <c r="AM879" s="26"/>
      <c r="AN879" s="26"/>
      <c r="AO879" s="26"/>
      <c r="AP879" s="26"/>
    </row>
    <row r="880" spans="1:42" ht="12.75" customHeight="1" x14ac:dyDescent="0.2">
      <c r="A880" s="5"/>
      <c r="B880" s="5"/>
      <c r="C880" s="5"/>
      <c r="E880" s="5"/>
      <c r="F880" s="5"/>
      <c r="N880" s="5"/>
      <c r="O880" s="5"/>
      <c r="X880" s="4"/>
      <c r="Y880" s="4"/>
      <c r="Z880" s="4"/>
      <c r="AA880" s="4"/>
      <c r="AB880" s="4"/>
      <c r="AC880" s="4"/>
      <c r="AD880" s="4"/>
      <c r="AE880" s="25"/>
      <c r="AF880" s="4"/>
      <c r="AG880" s="4"/>
      <c r="AH880" s="4"/>
      <c r="AI880" s="4"/>
      <c r="AM880" s="26"/>
      <c r="AN880" s="26"/>
      <c r="AO880" s="26"/>
      <c r="AP880" s="26"/>
    </row>
    <row r="881" spans="1:42" ht="12.75" customHeight="1" x14ac:dyDescent="0.2">
      <c r="A881" s="5"/>
      <c r="B881" s="5"/>
      <c r="C881" s="5"/>
      <c r="E881" s="5"/>
      <c r="F881" s="5"/>
      <c r="N881" s="5"/>
      <c r="O881" s="5"/>
      <c r="X881" s="4"/>
      <c r="Y881" s="4"/>
      <c r="Z881" s="4"/>
      <c r="AA881" s="4"/>
      <c r="AB881" s="4"/>
      <c r="AC881" s="4"/>
      <c r="AD881" s="4"/>
      <c r="AE881" s="25"/>
      <c r="AF881" s="4"/>
      <c r="AG881" s="4"/>
      <c r="AH881" s="4"/>
      <c r="AI881" s="4"/>
      <c r="AM881" s="26"/>
      <c r="AN881" s="26"/>
      <c r="AO881" s="26"/>
      <c r="AP881" s="26"/>
    </row>
    <row r="882" spans="1:42" ht="12.75" customHeight="1" x14ac:dyDescent="0.2">
      <c r="A882" s="5"/>
      <c r="B882" s="5"/>
      <c r="C882" s="5"/>
      <c r="E882" s="5"/>
      <c r="F882" s="5"/>
      <c r="N882" s="5"/>
      <c r="O882" s="5"/>
      <c r="X882" s="4"/>
      <c r="Y882" s="4"/>
      <c r="Z882" s="4"/>
      <c r="AA882" s="4"/>
      <c r="AB882" s="4"/>
      <c r="AC882" s="4"/>
      <c r="AD882" s="4"/>
      <c r="AE882" s="25"/>
      <c r="AF882" s="4"/>
      <c r="AG882" s="4"/>
      <c r="AH882" s="4"/>
      <c r="AI882" s="4"/>
      <c r="AM882" s="26"/>
      <c r="AN882" s="26"/>
      <c r="AO882" s="26"/>
      <c r="AP882" s="26"/>
    </row>
    <row r="883" spans="1:42" ht="12.75" customHeight="1" x14ac:dyDescent="0.2">
      <c r="A883" s="5"/>
      <c r="B883" s="5"/>
      <c r="C883" s="5"/>
      <c r="E883" s="5"/>
      <c r="F883" s="5"/>
      <c r="N883" s="5"/>
      <c r="O883" s="5"/>
      <c r="X883" s="4"/>
      <c r="Y883" s="4"/>
      <c r="Z883" s="4"/>
      <c r="AA883" s="4"/>
      <c r="AB883" s="4"/>
      <c r="AC883" s="4"/>
      <c r="AD883" s="4"/>
      <c r="AE883" s="25"/>
      <c r="AF883" s="4"/>
      <c r="AG883" s="4"/>
      <c r="AH883" s="4"/>
      <c r="AI883" s="4"/>
      <c r="AM883" s="26"/>
      <c r="AN883" s="26"/>
      <c r="AO883" s="26"/>
      <c r="AP883" s="26"/>
    </row>
    <row r="884" spans="1:42" ht="12.75" customHeight="1" x14ac:dyDescent="0.2">
      <c r="A884" s="5"/>
      <c r="B884" s="5"/>
      <c r="C884" s="5"/>
      <c r="E884" s="5"/>
      <c r="F884" s="5"/>
      <c r="N884" s="5"/>
      <c r="O884" s="5"/>
      <c r="X884" s="4"/>
      <c r="Y884" s="4"/>
      <c r="Z884" s="4"/>
      <c r="AA884" s="4"/>
      <c r="AB884" s="4"/>
      <c r="AC884" s="4"/>
      <c r="AD884" s="4"/>
      <c r="AE884" s="25"/>
      <c r="AF884" s="4"/>
      <c r="AG884" s="4"/>
      <c r="AH884" s="4"/>
      <c r="AI884" s="4"/>
      <c r="AM884" s="26"/>
      <c r="AN884" s="26"/>
      <c r="AO884" s="26"/>
      <c r="AP884" s="26"/>
    </row>
    <row r="885" spans="1:42" ht="12.75" customHeight="1" x14ac:dyDescent="0.2">
      <c r="A885" s="5"/>
      <c r="B885" s="5"/>
      <c r="C885" s="5"/>
      <c r="E885" s="5"/>
      <c r="F885" s="5"/>
      <c r="N885" s="5"/>
      <c r="O885" s="5"/>
      <c r="X885" s="4"/>
      <c r="Y885" s="4"/>
      <c r="Z885" s="4"/>
      <c r="AA885" s="4"/>
      <c r="AB885" s="4"/>
      <c r="AC885" s="4"/>
      <c r="AD885" s="4"/>
      <c r="AE885" s="25"/>
      <c r="AF885" s="4"/>
      <c r="AG885" s="4"/>
      <c r="AH885" s="4"/>
      <c r="AI885" s="4"/>
      <c r="AM885" s="26"/>
      <c r="AN885" s="26"/>
      <c r="AO885" s="26"/>
      <c r="AP885" s="26"/>
    </row>
    <row r="886" spans="1:42" ht="12.75" customHeight="1" x14ac:dyDescent="0.2">
      <c r="A886" s="5"/>
      <c r="B886" s="5"/>
      <c r="C886" s="5"/>
      <c r="E886" s="5"/>
      <c r="F886" s="5"/>
      <c r="N886" s="5"/>
      <c r="O886" s="5"/>
      <c r="X886" s="4"/>
      <c r="Y886" s="4"/>
      <c r="Z886" s="4"/>
      <c r="AA886" s="4"/>
      <c r="AB886" s="4"/>
      <c r="AC886" s="4"/>
      <c r="AD886" s="4"/>
      <c r="AE886" s="25"/>
      <c r="AF886" s="4"/>
      <c r="AG886" s="4"/>
      <c r="AH886" s="4"/>
      <c r="AI886" s="4"/>
      <c r="AM886" s="26"/>
      <c r="AN886" s="26"/>
      <c r="AO886" s="26"/>
      <c r="AP886" s="26"/>
    </row>
    <row r="887" spans="1:42" ht="12.75" customHeight="1" x14ac:dyDescent="0.2">
      <c r="A887" s="5"/>
      <c r="B887" s="5"/>
      <c r="C887" s="5"/>
      <c r="E887" s="5"/>
      <c r="F887" s="5"/>
      <c r="N887" s="5"/>
      <c r="O887" s="5"/>
      <c r="X887" s="4"/>
      <c r="Y887" s="4"/>
      <c r="Z887" s="4"/>
      <c r="AA887" s="4"/>
      <c r="AB887" s="4"/>
      <c r="AC887" s="4"/>
      <c r="AD887" s="4"/>
      <c r="AE887" s="25"/>
      <c r="AF887" s="4"/>
      <c r="AG887" s="4"/>
      <c r="AH887" s="4"/>
      <c r="AI887" s="4"/>
      <c r="AM887" s="26"/>
      <c r="AN887" s="26"/>
      <c r="AO887" s="26"/>
      <c r="AP887" s="26"/>
    </row>
    <row r="888" spans="1:42" ht="12.75" customHeight="1" x14ac:dyDescent="0.2">
      <c r="A888" s="5"/>
      <c r="B888" s="5"/>
      <c r="C888" s="5"/>
      <c r="E888" s="5"/>
      <c r="F888" s="5"/>
      <c r="N888" s="5"/>
      <c r="O888" s="5"/>
      <c r="X888" s="4"/>
      <c r="Y888" s="4"/>
      <c r="Z888" s="4"/>
      <c r="AA888" s="4"/>
      <c r="AB888" s="4"/>
      <c r="AC888" s="4"/>
      <c r="AD888" s="4"/>
      <c r="AE888" s="25"/>
      <c r="AF888" s="4"/>
      <c r="AG888" s="4"/>
      <c r="AH888" s="4"/>
      <c r="AI888" s="4"/>
      <c r="AM888" s="26"/>
      <c r="AN888" s="26"/>
      <c r="AO888" s="26"/>
      <c r="AP888" s="26"/>
    </row>
    <row r="889" spans="1:42" ht="12.75" customHeight="1" x14ac:dyDescent="0.2">
      <c r="A889" s="5"/>
      <c r="B889" s="5"/>
      <c r="C889" s="5"/>
      <c r="E889" s="5"/>
      <c r="F889" s="5"/>
      <c r="N889" s="5"/>
      <c r="O889" s="5"/>
      <c r="X889" s="4"/>
      <c r="Y889" s="4"/>
      <c r="Z889" s="4"/>
      <c r="AA889" s="4"/>
      <c r="AB889" s="4"/>
      <c r="AC889" s="4"/>
      <c r="AD889" s="4"/>
      <c r="AE889" s="25"/>
      <c r="AF889" s="4"/>
      <c r="AG889" s="4"/>
      <c r="AH889" s="4"/>
      <c r="AI889" s="4"/>
      <c r="AM889" s="26"/>
      <c r="AN889" s="26"/>
      <c r="AO889" s="26"/>
      <c r="AP889" s="26"/>
    </row>
    <row r="890" spans="1:42" ht="12.75" customHeight="1" x14ac:dyDescent="0.2">
      <c r="A890" s="5"/>
      <c r="B890" s="5"/>
      <c r="C890" s="5"/>
      <c r="E890" s="5"/>
      <c r="F890" s="5"/>
      <c r="N890" s="5"/>
      <c r="O890" s="5"/>
      <c r="X890" s="4"/>
      <c r="Y890" s="4"/>
      <c r="Z890" s="4"/>
      <c r="AA890" s="4"/>
      <c r="AB890" s="4"/>
      <c r="AC890" s="4"/>
      <c r="AD890" s="4"/>
      <c r="AE890" s="25"/>
      <c r="AF890" s="4"/>
      <c r="AG890" s="4"/>
      <c r="AH890" s="4"/>
      <c r="AI890" s="4"/>
      <c r="AM890" s="26"/>
      <c r="AN890" s="26"/>
      <c r="AO890" s="26"/>
      <c r="AP890" s="26"/>
    </row>
    <row r="891" spans="1:42" ht="12.75" customHeight="1" x14ac:dyDescent="0.2">
      <c r="A891" s="5"/>
      <c r="B891" s="5"/>
      <c r="C891" s="5"/>
      <c r="E891" s="5"/>
      <c r="F891" s="5"/>
      <c r="N891" s="5"/>
      <c r="O891" s="5"/>
      <c r="X891" s="4"/>
      <c r="Y891" s="4"/>
      <c r="Z891" s="4"/>
      <c r="AA891" s="4"/>
      <c r="AB891" s="4"/>
      <c r="AC891" s="4"/>
      <c r="AD891" s="4"/>
      <c r="AE891" s="25"/>
      <c r="AF891" s="4"/>
      <c r="AG891" s="4"/>
      <c r="AH891" s="4"/>
      <c r="AI891" s="4"/>
      <c r="AM891" s="26"/>
      <c r="AN891" s="26"/>
      <c r="AO891" s="26"/>
      <c r="AP891" s="26"/>
    </row>
    <row r="892" spans="1:42" ht="12.75" customHeight="1" x14ac:dyDescent="0.2">
      <c r="A892" s="5"/>
      <c r="B892" s="5"/>
      <c r="C892" s="5"/>
      <c r="E892" s="5"/>
      <c r="F892" s="5"/>
      <c r="N892" s="5"/>
      <c r="O892" s="5"/>
      <c r="X892" s="4"/>
      <c r="Y892" s="4"/>
      <c r="Z892" s="4"/>
      <c r="AA892" s="4"/>
      <c r="AB892" s="4"/>
      <c r="AC892" s="4"/>
      <c r="AD892" s="4"/>
      <c r="AE892" s="25"/>
      <c r="AF892" s="4"/>
      <c r="AG892" s="4"/>
      <c r="AH892" s="4"/>
      <c r="AI892" s="4"/>
      <c r="AM892" s="26"/>
      <c r="AN892" s="26"/>
      <c r="AO892" s="26"/>
      <c r="AP892" s="26"/>
    </row>
    <row r="893" spans="1:42" ht="12.75" customHeight="1" x14ac:dyDescent="0.2">
      <c r="A893" s="5"/>
      <c r="B893" s="5"/>
      <c r="C893" s="5"/>
      <c r="E893" s="5"/>
      <c r="F893" s="5"/>
      <c r="N893" s="5"/>
      <c r="O893" s="5"/>
      <c r="X893" s="4"/>
      <c r="Y893" s="4"/>
      <c r="Z893" s="4"/>
      <c r="AA893" s="4"/>
      <c r="AB893" s="4"/>
      <c r="AC893" s="4"/>
      <c r="AD893" s="4"/>
      <c r="AE893" s="25"/>
      <c r="AF893" s="4"/>
      <c r="AG893" s="4"/>
      <c r="AH893" s="4"/>
      <c r="AI893" s="4"/>
      <c r="AM893" s="26"/>
      <c r="AN893" s="26"/>
      <c r="AO893" s="26"/>
      <c r="AP893" s="26"/>
    </row>
    <row r="894" spans="1:42" ht="12.75" customHeight="1" x14ac:dyDescent="0.2">
      <c r="A894" s="5"/>
      <c r="B894" s="5"/>
      <c r="C894" s="5"/>
      <c r="E894" s="5"/>
      <c r="F894" s="5"/>
      <c r="N894" s="5"/>
      <c r="O894" s="5"/>
      <c r="X894" s="4"/>
      <c r="Y894" s="4"/>
      <c r="Z894" s="4"/>
      <c r="AA894" s="4"/>
      <c r="AB894" s="4"/>
      <c r="AC894" s="4"/>
      <c r="AD894" s="4"/>
      <c r="AE894" s="25"/>
      <c r="AF894" s="4"/>
      <c r="AG894" s="4"/>
      <c r="AH894" s="4"/>
      <c r="AI894" s="4"/>
      <c r="AM894" s="26"/>
      <c r="AN894" s="26"/>
      <c r="AO894" s="26"/>
      <c r="AP894" s="26"/>
    </row>
    <row r="895" spans="1:42" ht="12.75" customHeight="1" x14ac:dyDescent="0.2">
      <c r="A895" s="5"/>
      <c r="B895" s="5"/>
      <c r="C895" s="5"/>
      <c r="E895" s="5"/>
      <c r="F895" s="5"/>
      <c r="N895" s="5"/>
      <c r="O895" s="5"/>
      <c r="X895" s="4"/>
      <c r="Y895" s="4"/>
      <c r="Z895" s="4"/>
      <c r="AA895" s="4"/>
      <c r="AB895" s="4"/>
      <c r="AC895" s="4"/>
      <c r="AD895" s="4"/>
      <c r="AE895" s="25"/>
      <c r="AF895" s="4"/>
      <c r="AG895" s="4"/>
      <c r="AH895" s="4"/>
      <c r="AI895" s="4"/>
      <c r="AM895" s="26"/>
      <c r="AN895" s="26"/>
      <c r="AO895" s="26"/>
      <c r="AP895" s="26"/>
    </row>
    <row r="896" spans="1:42" ht="12.75" customHeight="1" x14ac:dyDescent="0.2">
      <c r="A896" s="5"/>
      <c r="B896" s="5"/>
      <c r="C896" s="5"/>
      <c r="E896" s="5"/>
      <c r="F896" s="5"/>
      <c r="N896" s="5"/>
      <c r="O896" s="5"/>
      <c r="X896" s="4"/>
      <c r="Y896" s="4"/>
      <c r="Z896" s="4"/>
      <c r="AA896" s="4"/>
      <c r="AB896" s="4"/>
      <c r="AC896" s="4"/>
      <c r="AD896" s="4"/>
      <c r="AE896" s="25"/>
      <c r="AF896" s="4"/>
      <c r="AG896" s="4"/>
      <c r="AH896" s="4"/>
      <c r="AI896" s="4"/>
      <c r="AM896" s="26"/>
      <c r="AN896" s="26"/>
      <c r="AO896" s="26"/>
      <c r="AP896" s="26"/>
    </row>
    <row r="897" spans="1:42" ht="12.75" customHeight="1" x14ac:dyDescent="0.2">
      <c r="A897" s="5"/>
      <c r="B897" s="5"/>
      <c r="C897" s="5"/>
      <c r="E897" s="5"/>
      <c r="F897" s="5"/>
      <c r="N897" s="5"/>
      <c r="O897" s="5"/>
      <c r="X897" s="4"/>
      <c r="Y897" s="4"/>
      <c r="Z897" s="4"/>
      <c r="AA897" s="4"/>
      <c r="AB897" s="4"/>
      <c r="AC897" s="4"/>
      <c r="AD897" s="4"/>
      <c r="AE897" s="25"/>
      <c r="AF897" s="4"/>
      <c r="AG897" s="4"/>
      <c r="AH897" s="4"/>
      <c r="AI897" s="4"/>
      <c r="AM897" s="26"/>
      <c r="AN897" s="26"/>
      <c r="AO897" s="26"/>
      <c r="AP897" s="26"/>
    </row>
    <row r="898" spans="1:42" ht="12.75" customHeight="1" x14ac:dyDescent="0.2">
      <c r="A898" s="5"/>
      <c r="B898" s="5"/>
      <c r="C898" s="5"/>
      <c r="E898" s="5"/>
      <c r="F898" s="5"/>
      <c r="N898" s="5"/>
      <c r="O898" s="5"/>
      <c r="X898" s="4"/>
      <c r="Y898" s="4"/>
      <c r="Z898" s="4"/>
      <c r="AA898" s="4"/>
      <c r="AB898" s="4"/>
      <c r="AC898" s="4"/>
      <c r="AD898" s="4"/>
      <c r="AE898" s="25"/>
      <c r="AF898" s="4"/>
      <c r="AG898" s="4"/>
      <c r="AH898" s="4"/>
      <c r="AI898" s="4"/>
      <c r="AM898" s="26"/>
      <c r="AN898" s="26"/>
      <c r="AO898" s="26"/>
      <c r="AP898" s="26"/>
    </row>
    <row r="899" spans="1:42" ht="12.75" customHeight="1" x14ac:dyDescent="0.2">
      <c r="A899" s="5"/>
      <c r="B899" s="5"/>
      <c r="C899" s="5"/>
      <c r="E899" s="5"/>
      <c r="F899" s="5"/>
      <c r="N899" s="5"/>
      <c r="O899" s="5"/>
      <c r="X899" s="4"/>
      <c r="Y899" s="4"/>
      <c r="Z899" s="4"/>
      <c r="AA899" s="4"/>
      <c r="AB899" s="4"/>
      <c r="AC899" s="4"/>
      <c r="AD899" s="4"/>
      <c r="AE899" s="25"/>
      <c r="AF899" s="4"/>
      <c r="AG899" s="4"/>
      <c r="AH899" s="4"/>
      <c r="AI899" s="4"/>
      <c r="AM899" s="26"/>
      <c r="AN899" s="26"/>
      <c r="AO899" s="26"/>
      <c r="AP899" s="26"/>
    </row>
    <row r="900" spans="1:42" ht="12.75" customHeight="1" x14ac:dyDescent="0.2">
      <c r="A900" s="5"/>
      <c r="B900" s="5"/>
      <c r="C900" s="5"/>
      <c r="E900" s="5"/>
      <c r="F900" s="5"/>
      <c r="N900" s="5"/>
      <c r="O900" s="5"/>
      <c r="X900" s="4"/>
      <c r="Y900" s="4"/>
      <c r="Z900" s="4"/>
      <c r="AA900" s="4"/>
      <c r="AB900" s="4"/>
      <c r="AC900" s="4"/>
      <c r="AD900" s="4"/>
      <c r="AE900" s="25"/>
      <c r="AF900" s="4"/>
      <c r="AG900" s="4"/>
      <c r="AH900" s="4"/>
      <c r="AI900" s="4"/>
      <c r="AM900" s="26"/>
      <c r="AN900" s="26"/>
      <c r="AO900" s="26"/>
      <c r="AP900" s="26"/>
    </row>
    <row r="901" spans="1:42" ht="12.75" customHeight="1" x14ac:dyDescent="0.2">
      <c r="A901" s="5"/>
      <c r="B901" s="5"/>
      <c r="C901" s="5"/>
      <c r="E901" s="5"/>
      <c r="F901" s="5"/>
      <c r="N901" s="5"/>
      <c r="O901" s="5"/>
      <c r="X901" s="4"/>
      <c r="Y901" s="4"/>
      <c r="Z901" s="4"/>
      <c r="AA901" s="4"/>
      <c r="AB901" s="4"/>
      <c r="AC901" s="4"/>
      <c r="AD901" s="4"/>
      <c r="AE901" s="25"/>
      <c r="AF901" s="4"/>
      <c r="AG901" s="4"/>
      <c r="AH901" s="4"/>
      <c r="AI901" s="4"/>
      <c r="AM901" s="26"/>
      <c r="AN901" s="26"/>
      <c r="AO901" s="26"/>
      <c r="AP901" s="26"/>
    </row>
    <row r="902" spans="1:42" ht="12.75" customHeight="1" x14ac:dyDescent="0.2">
      <c r="A902" s="5"/>
      <c r="B902" s="5"/>
      <c r="C902" s="5"/>
      <c r="E902" s="5"/>
      <c r="F902" s="5"/>
      <c r="N902" s="5"/>
      <c r="O902" s="5"/>
      <c r="X902" s="4"/>
      <c r="Y902" s="4"/>
      <c r="Z902" s="4"/>
      <c r="AA902" s="4"/>
      <c r="AB902" s="4"/>
      <c r="AC902" s="4"/>
      <c r="AD902" s="4"/>
      <c r="AE902" s="25"/>
      <c r="AF902" s="4"/>
      <c r="AG902" s="4"/>
      <c r="AH902" s="4"/>
      <c r="AI902" s="4"/>
      <c r="AM902" s="26"/>
      <c r="AN902" s="26"/>
      <c r="AO902" s="26"/>
      <c r="AP902" s="26"/>
    </row>
    <row r="903" spans="1:42" ht="12.75" customHeight="1" x14ac:dyDescent="0.2">
      <c r="A903" s="5"/>
      <c r="B903" s="5"/>
      <c r="C903" s="5"/>
      <c r="E903" s="5"/>
      <c r="F903" s="5"/>
      <c r="N903" s="5"/>
      <c r="O903" s="5"/>
      <c r="X903" s="4"/>
      <c r="Y903" s="4"/>
      <c r="Z903" s="4"/>
      <c r="AA903" s="4"/>
      <c r="AB903" s="4"/>
      <c r="AC903" s="4"/>
      <c r="AD903" s="4"/>
      <c r="AE903" s="25"/>
      <c r="AF903" s="4"/>
      <c r="AG903" s="4"/>
      <c r="AH903" s="4"/>
      <c r="AI903" s="4"/>
      <c r="AM903" s="26"/>
      <c r="AN903" s="26"/>
      <c r="AO903" s="26"/>
      <c r="AP903" s="26"/>
    </row>
    <row r="904" spans="1:42" ht="12.75" customHeight="1" x14ac:dyDescent="0.2">
      <c r="A904" s="5"/>
      <c r="B904" s="5"/>
      <c r="C904" s="5"/>
      <c r="E904" s="5"/>
      <c r="F904" s="5"/>
      <c r="N904" s="5"/>
      <c r="O904" s="5"/>
      <c r="X904" s="4"/>
      <c r="Y904" s="4"/>
      <c r="Z904" s="4"/>
      <c r="AA904" s="4"/>
      <c r="AB904" s="4"/>
      <c r="AC904" s="4"/>
      <c r="AD904" s="4"/>
      <c r="AE904" s="25"/>
      <c r="AF904" s="4"/>
      <c r="AG904" s="4"/>
      <c r="AH904" s="4"/>
      <c r="AI904" s="4"/>
      <c r="AM904" s="26"/>
      <c r="AN904" s="26"/>
      <c r="AO904" s="26"/>
      <c r="AP904" s="26"/>
    </row>
    <row r="905" spans="1:42" ht="12.75" customHeight="1" x14ac:dyDescent="0.2">
      <c r="A905" s="5"/>
      <c r="B905" s="5"/>
      <c r="C905" s="5"/>
      <c r="E905" s="5"/>
      <c r="F905" s="5"/>
      <c r="N905" s="5"/>
      <c r="O905" s="5"/>
      <c r="X905" s="4"/>
      <c r="Y905" s="4"/>
      <c r="Z905" s="4"/>
      <c r="AA905" s="4"/>
      <c r="AB905" s="4"/>
      <c r="AC905" s="4"/>
      <c r="AD905" s="4"/>
      <c r="AE905" s="25"/>
      <c r="AF905" s="4"/>
      <c r="AG905" s="4"/>
      <c r="AH905" s="4"/>
      <c r="AI905" s="4"/>
      <c r="AM905" s="26"/>
      <c r="AN905" s="26"/>
      <c r="AO905" s="26"/>
      <c r="AP905" s="26"/>
    </row>
    <row r="906" spans="1:42" ht="12.75" customHeight="1" x14ac:dyDescent="0.2">
      <c r="A906" s="5"/>
      <c r="B906" s="5"/>
      <c r="C906" s="5"/>
      <c r="E906" s="5"/>
      <c r="F906" s="5"/>
      <c r="N906" s="5"/>
      <c r="O906" s="5"/>
      <c r="X906" s="4"/>
      <c r="Y906" s="4"/>
      <c r="Z906" s="4"/>
      <c r="AA906" s="4"/>
      <c r="AB906" s="4"/>
      <c r="AC906" s="4"/>
      <c r="AD906" s="4"/>
      <c r="AE906" s="25"/>
      <c r="AF906" s="4"/>
      <c r="AG906" s="4"/>
      <c r="AH906" s="4"/>
      <c r="AI906" s="4"/>
      <c r="AM906" s="26"/>
      <c r="AN906" s="26"/>
      <c r="AO906" s="26"/>
      <c r="AP906" s="26"/>
    </row>
    <row r="907" spans="1:42" ht="12.75" customHeight="1" x14ac:dyDescent="0.2">
      <c r="A907" s="5"/>
      <c r="B907" s="5"/>
      <c r="C907" s="5"/>
      <c r="E907" s="5"/>
      <c r="F907" s="5"/>
      <c r="N907" s="5"/>
      <c r="O907" s="5"/>
      <c r="X907" s="4"/>
      <c r="Y907" s="4"/>
      <c r="Z907" s="4"/>
      <c r="AA907" s="4"/>
      <c r="AB907" s="4"/>
      <c r="AC907" s="4"/>
      <c r="AD907" s="4"/>
      <c r="AE907" s="25"/>
      <c r="AF907" s="4"/>
      <c r="AG907" s="4"/>
      <c r="AH907" s="4"/>
      <c r="AI907" s="4"/>
      <c r="AM907" s="26"/>
      <c r="AN907" s="26"/>
      <c r="AO907" s="26"/>
      <c r="AP907" s="26"/>
    </row>
    <row r="908" spans="1:42" ht="12.75" customHeight="1" x14ac:dyDescent="0.2">
      <c r="A908" s="5"/>
      <c r="B908" s="5"/>
      <c r="C908" s="5"/>
      <c r="E908" s="5"/>
      <c r="F908" s="5"/>
      <c r="N908" s="5"/>
      <c r="O908" s="5"/>
      <c r="X908" s="4"/>
      <c r="Y908" s="4"/>
      <c r="Z908" s="4"/>
      <c r="AA908" s="4"/>
      <c r="AB908" s="4"/>
      <c r="AC908" s="4"/>
      <c r="AD908" s="4"/>
      <c r="AE908" s="25"/>
      <c r="AF908" s="4"/>
      <c r="AG908" s="4"/>
      <c r="AH908" s="4"/>
      <c r="AI908" s="4"/>
      <c r="AM908" s="26"/>
      <c r="AN908" s="26"/>
      <c r="AO908" s="26"/>
      <c r="AP908" s="26"/>
    </row>
    <row r="909" spans="1:42" ht="12.75" customHeight="1" x14ac:dyDescent="0.2">
      <c r="A909" s="5"/>
      <c r="B909" s="5"/>
      <c r="C909" s="5"/>
      <c r="E909" s="5"/>
      <c r="F909" s="5"/>
      <c r="N909" s="5"/>
      <c r="O909" s="5"/>
      <c r="X909" s="4"/>
      <c r="Y909" s="4"/>
      <c r="Z909" s="4"/>
      <c r="AA909" s="4"/>
      <c r="AB909" s="4"/>
      <c r="AC909" s="4"/>
      <c r="AD909" s="4"/>
      <c r="AE909" s="25"/>
      <c r="AF909" s="4"/>
      <c r="AG909" s="4"/>
      <c r="AH909" s="4"/>
      <c r="AI909" s="4"/>
      <c r="AM909" s="26"/>
      <c r="AN909" s="26"/>
      <c r="AO909" s="26"/>
      <c r="AP909" s="26"/>
    </row>
    <row r="910" spans="1:42" ht="12.75" customHeight="1" x14ac:dyDescent="0.2">
      <c r="A910" s="5"/>
      <c r="B910" s="5"/>
      <c r="C910" s="5"/>
      <c r="E910" s="5"/>
      <c r="F910" s="5"/>
      <c r="N910" s="5"/>
      <c r="O910" s="5"/>
      <c r="X910" s="4"/>
      <c r="Y910" s="4"/>
      <c r="Z910" s="4"/>
      <c r="AA910" s="4"/>
      <c r="AB910" s="4"/>
      <c r="AC910" s="4"/>
      <c r="AD910" s="4"/>
      <c r="AE910" s="25"/>
      <c r="AF910" s="4"/>
      <c r="AG910" s="4"/>
      <c r="AH910" s="4"/>
      <c r="AI910" s="4"/>
      <c r="AM910" s="26"/>
      <c r="AN910" s="26"/>
      <c r="AO910" s="26"/>
      <c r="AP910" s="26"/>
    </row>
    <row r="911" spans="1:42" ht="12.75" customHeight="1" x14ac:dyDescent="0.2">
      <c r="A911" s="5"/>
      <c r="B911" s="5"/>
      <c r="C911" s="5"/>
      <c r="E911" s="5"/>
      <c r="F911" s="5"/>
      <c r="N911" s="5"/>
      <c r="O911" s="5"/>
      <c r="X911" s="4"/>
      <c r="Y911" s="4"/>
      <c r="Z911" s="4"/>
      <c r="AA911" s="4"/>
      <c r="AB911" s="4"/>
      <c r="AC911" s="4"/>
      <c r="AD911" s="4"/>
      <c r="AE911" s="25"/>
      <c r="AF911" s="4"/>
      <c r="AG911" s="4"/>
      <c r="AH911" s="4"/>
      <c r="AI911" s="4"/>
      <c r="AM911" s="26"/>
      <c r="AN911" s="26"/>
      <c r="AO911" s="26"/>
      <c r="AP911" s="26"/>
    </row>
    <row r="912" spans="1:42" ht="12.75" customHeight="1" x14ac:dyDescent="0.2">
      <c r="A912" s="5"/>
      <c r="B912" s="5"/>
      <c r="C912" s="5"/>
      <c r="E912" s="5"/>
      <c r="F912" s="5"/>
      <c r="N912" s="5"/>
      <c r="O912" s="5"/>
      <c r="X912" s="4"/>
      <c r="Y912" s="4"/>
      <c r="Z912" s="4"/>
      <c r="AA912" s="4"/>
      <c r="AB912" s="4"/>
      <c r="AC912" s="4"/>
      <c r="AD912" s="4"/>
      <c r="AE912" s="25"/>
      <c r="AF912" s="4"/>
      <c r="AG912" s="4"/>
      <c r="AH912" s="4"/>
      <c r="AI912" s="4"/>
      <c r="AM912" s="26"/>
      <c r="AN912" s="26"/>
      <c r="AO912" s="26"/>
      <c r="AP912" s="26"/>
    </row>
    <row r="913" spans="1:42" ht="12.75" customHeight="1" x14ac:dyDescent="0.2">
      <c r="A913" s="5"/>
      <c r="B913" s="5"/>
      <c r="C913" s="5"/>
      <c r="E913" s="5"/>
      <c r="F913" s="5"/>
      <c r="N913" s="5"/>
      <c r="O913" s="5"/>
      <c r="X913" s="4"/>
      <c r="Y913" s="4"/>
      <c r="Z913" s="4"/>
      <c r="AA913" s="4"/>
      <c r="AB913" s="4"/>
      <c r="AC913" s="4"/>
      <c r="AD913" s="4"/>
      <c r="AE913" s="25"/>
      <c r="AF913" s="4"/>
      <c r="AG913" s="4"/>
      <c r="AH913" s="4"/>
      <c r="AI913" s="4"/>
      <c r="AM913" s="26"/>
      <c r="AN913" s="26"/>
      <c r="AO913" s="26"/>
      <c r="AP913" s="26"/>
    </row>
    <row r="914" spans="1:42" ht="12.75" customHeight="1" x14ac:dyDescent="0.2">
      <c r="A914" s="5"/>
      <c r="B914" s="5"/>
      <c r="C914" s="5"/>
      <c r="E914" s="5"/>
      <c r="F914" s="5"/>
      <c r="N914" s="5"/>
      <c r="O914" s="5"/>
      <c r="X914" s="4"/>
      <c r="Y914" s="4"/>
      <c r="Z914" s="4"/>
      <c r="AA914" s="4"/>
      <c r="AB914" s="4"/>
      <c r="AC914" s="4"/>
      <c r="AD914" s="4"/>
      <c r="AE914" s="25"/>
      <c r="AF914" s="4"/>
      <c r="AG914" s="4"/>
      <c r="AH914" s="4"/>
      <c r="AI914" s="4"/>
      <c r="AM914" s="26"/>
      <c r="AN914" s="26"/>
      <c r="AO914" s="26"/>
      <c r="AP914" s="26"/>
    </row>
    <row r="915" spans="1:42" ht="12.75" customHeight="1" x14ac:dyDescent="0.2">
      <c r="A915" s="5"/>
      <c r="B915" s="5"/>
      <c r="C915" s="5"/>
      <c r="E915" s="5"/>
      <c r="F915" s="5"/>
      <c r="N915" s="5"/>
      <c r="O915" s="5"/>
      <c r="X915" s="4"/>
      <c r="Y915" s="4"/>
      <c r="Z915" s="4"/>
      <c r="AA915" s="4"/>
      <c r="AB915" s="4"/>
      <c r="AC915" s="4"/>
      <c r="AD915" s="4"/>
      <c r="AE915" s="25"/>
      <c r="AF915" s="4"/>
      <c r="AG915" s="4"/>
      <c r="AH915" s="4"/>
      <c r="AI915" s="4"/>
      <c r="AM915" s="26"/>
      <c r="AN915" s="26"/>
      <c r="AO915" s="26"/>
      <c r="AP915" s="26"/>
    </row>
    <row r="916" spans="1:42" ht="12.75" customHeight="1" x14ac:dyDescent="0.2">
      <c r="A916" s="5"/>
      <c r="B916" s="5"/>
      <c r="C916" s="5"/>
      <c r="E916" s="5"/>
      <c r="F916" s="5"/>
      <c r="N916" s="5"/>
      <c r="O916" s="5"/>
      <c r="X916" s="4"/>
      <c r="Y916" s="4"/>
      <c r="Z916" s="4"/>
      <c r="AA916" s="4"/>
      <c r="AB916" s="4"/>
      <c r="AC916" s="4"/>
      <c r="AD916" s="4"/>
      <c r="AE916" s="25"/>
      <c r="AF916" s="4"/>
      <c r="AG916" s="4"/>
      <c r="AH916" s="4"/>
      <c r="AI916" s="4"/>
      <c r="AM916" s="26"/>
      <c r="AN916" s="26"/>
      <c r="AO916" s="26"/>
      <c r="AP916" s="26"/>
    </row>
    <row r="917" spans="1:42" ht="12.75" customHeight="1" x14ac:dyDescent="0.2">
      <c r="A917" s="5"/>
      <c r="B917" s="5"/>
      <c r="C917" s="5"/>
      <c r="E917" s="5"/>
      <c r="F917" s="5"/>
      <c r="N917" s="5"/>
      <c r="O917" s="5"/>
      <c r="X917" s="4"/>
      <c r="Y917" s="4"/>
      <c r="Z917" s="4"/>
      <c r="AA917" s="4"/>
      <c r="AB917" s="4"/>
      <c r="AC917" s="4"/>
      <c r="AD917" s="4"/>
      <c r="AE917" s="25"/>
      <c r="AF917" s="4"/>
      <c r="AG917" s="4"/>
      <c r="AH917" s="4"/>
      <c r="AI917" s="4"/>
      <c r="AM917" s="26"/>
      <c r="AN917" s="26"/>
      <c r="AO917" s="26"/>
      <c r="AP917" s="26"/>
    </row>
    <row r="918" spans="1:42" ht="12.75" customHeight="1" x14ac:dyDescent="0.2">
      <c r="A918" s="5"/>
      <c r="B918" s="5"/>
      <c r="C918" s="5"/>
      <c r="E918" s="5"/>
      <c r="F918" s="5"/>
      <c r="N918" s="5"/>
      <c r="O918" s="5"/>
      <c r="X918" s="4"/>
      <c r="Y918" s="4"/>
      <c r="Z918" s="4"/>
      <c r="AA918" s="4"/>
      <c r="AB918" s="4"/>
      <c r="AC918" s="4"/>
      <c r="AD918" s="4"/>
      <c r="AE918" s="25"/>
      <c r="AF918" s="4"/>
      <c r="AG918" s="4"/>
      <c r="AH918" s="4"/>
      <c r="AI918" s="4"/>
      <c r="AM918" s="26"/>
      <c r="AN918" s="26"/>
      <c r="AO918" s="26"/>
      <c r="AP918" s="26"/>
    </row>
    <row r="919" spans="1:42" ht="12.75" customHeight="1" x14ac:dyDescent="0.2">
      <c r="A919" s="5"/>
      <c r="B919" s="5"/>
      <c r="C919" s="5"/>
      <c r="E919" s="5"/>
      <c r="F919" s="5"/>
      <c r="N919" s="5"/>
      <c r="O919" s="5"/>
      <c r="X919" s="4"/>
      <c r="Y919" s="4"/>
      <c r="Z919" s="4"/>
      <c r="AA919" s="4"/>
      <c r="AB919" s="4"/>
      <c r="AC919" s="4"/>
      <c r="AD919" s="4"/>
      <c r="AE919" s="25"/>
      <c r="AF919" s="4"/>
      <c r="AG919" s="4"/>
      <c r="AH919" s="4"/>
      <c r="AI919" s="4"/>
      <c r="AM919" s="26"/>
      <c r="AN919" s="26"/>
      <c r="AO919" s="26"/>
      <c r="AP919" s="26"/>
    </row>
    <row r="920" spans="1:42" ht="12.75" customHeight="1" x14ac:dyDescent="0.2">
      <c r="A920" s="5"/>
      <c r="B920" s="5"/>
      <c r="C920" s="5"/>
      <c r="E920" s="5"/>
      <c r="F920" s="5"/>
      <c r="N920" s="5"/>
      <c r="O920" s="5"/>
      <c r="X920" s="4"/>
      <c r="Y920" s="4"/>
      <c r="Z920" s="4"/>
      <c r="AA920" s="4"/>
      <c r="AB920" s="4"/>
      <c r="AC920" s="4"/>
      <c r="AD920" s="4"/>
      <c r="AE920" s="25"/>
      <c r="AF920" s="4"/>
      <c r="AG920" s="4"/>
      <c r="AH920" s="4"/>
      <c r="AI920" s="4"/>
      <c r="AM920" s="26"/>
      <c r="AN920" s="26"/>
      <c r="AO920" s="26"/>
      <c r="AP920" s="26"/>
    </row>
    <row r="921" spans="1:42" ht="12.75" customHeight="1" x14ac:dyDescent="0.2">
      <c r="A921" s="5"/>
      <c r="B921" s="5"/>
      <c r="C921" s="5"/>
      <c r="E921" s="5"/>
      <c r="F921" s="5"/>
      <c r="N921" s="5"/>
      <c r="O921" s="5"/>
      <c r="X921" s="4"/>
      <c r="Y921" s="4"/>
      <c r="Z921" s="4"/>
      <c r="AA921" s="4"/>
      <c r="AB921" s="4"/>
      <c r="AC921" s="4"/>
      <c r="AD921" s="4"/>
      <c r="AE921" s="25"/>
      <c r="AF921" s="4"/>
      <c r="AG921" s="4"/>
      <c r="AH921" s="4"/>
      <c r="AI921" s="4"/>
      <c r="AM921" s="26"/>
      <c r="AN921" s="26"/>
      <c r="AO921" s="26"/>
      <c r="AP921" s="26"/>
    </row>
    <row r="922" spans="1:42" ht="12.75" customHeight="1" x14ac:dyDescent="0.2">
      <c r="A922" s="5"/>
      <c r="B922" s="5"/>
      <c r="C922" s="5"/>
      <c r="E922" s="5"/>
      <c r="F922" s="5"/>
      <c r="N922" s="5"/>
      <c r="O922" s="5"/>
      <c r="X922" s="4"/>
      <c r="Y922" s="4"/>
      <c r="Z922" s="4"/>
      <c r="AA922" s="4"/>
      <c r="AB922" s="4"/>
      <c r="AC922" s="4"/>
      <c r="AD922" s="4"/>
      <c r="AE922" s="25"/>
      <c r="AF922" s="4"/>
      <c r="AG922" s="4"/>
      <c r="AH922" s="4"/>
      <c r="AI922" s="4"/>
      <c r="AM922" s="26"/>
      <c r="AN922" s="26"/>
      <c r="AO922" s="26"/>
      <c r="AP922" s="26"/>
    </row>
    <row r="923" spans="1:42" ht="12.75" customHeight="1" x14ac:dyDescent="0.2">
      <c r="A923" s="5"/>
      <c r="B923" s="5"/>
      <c r="C923" s="5"/>
      <c r="E923" s="5"/>
      <c r="F923" s="5"/>
      <c r="N923" s="5"/>
      <c r="O923" s="5"/>
      <c r="X923" s="4"/>
      <c r="Y923" s="4"/>
      <c r="Z923" s="4"/>
      <c r="AA923" s="4"/>
      <c r="AB923" s="4"/>
      <c r="AC923" s="4"/>
      <c r="AD923" s="4"/>
      <c r="AE923" s="25"/>
      <c r="AF923" s="4"/>
      <c r="AG923" s="4"/>
      <c r="AH923" s="4"/>
      <c r="AI923" s="4"/>
      <c r="AM923" s="26"/>
      <c r="AN923" s="26"/>
      <c r="AO923" s="26"/>
      <c r="AP923" s="26"/>
    </row>
    <row r="924" spans="1:42" ht="12.75" customHeight="1" x14ac:dyDescent="0.2">
      <c r="A924" s="5"/>
      <c r="B924" s="5"/>
      <c r="C924" s="5"/>
      <c r="E924" s="5"/>
      <c r="F924" s="5"/>
      <c r="N924" s="5"/>
      <c r="O924" s="5"/>
      <c r="X924" s="4"/>
      <c r="Y924" s="4"/>
      <c r="Z924" s="4"/>
      <c r="AA924" s="4"/>
      <c r="AB924" s="4"/>
      <c r="AC924" s="4"/>
      <c r="AD924" s="4"/>
      <c r="AE924" s="25"/>
      <c r="AF924" s="4"/>
      <c r="AG924" s="4"/>
      <c r="AH924" s="4"/>
      <c r="AI924" s="4"/>
      <c r="AM924" s="26"/>
      <c r="AN924" s="26"/>
      <c r="AO924" s="26"/>
      <c r="AP924" s="26"/>
    </row>
    <row r="925" spans="1:42" ht="12.75" customHeight="1" x14ac:dyDescent="0.2">
      <c r="A925" s="5"/>
      <c r="B925" s="5"/>
      <c r="C925" s="5"/>
      <c r="E925" s="5"/>
      <c r="F925" s="5"/>
      <c r="N925" s="5"/>
      <c r="O925" s="5"/>
      <c r="X925" s="4"/>
      <c r="Y925" s="4"/>
      <c r="Z925" s="4"/>
      <c r="AA925" s="4"/>
      <c r="AB925" s="4"/>
      <c r="AC925" s="4"/>
      <c r="AD925" s="4"/>
      <c r="AE925" s="25"/>
      <c r="AF925" s="4"/>
      <c r="AG925" s="4"/>
      <c r="AH925" s="4"/>
      <c r="AI925" s="4"/>
      <c r="AM925" s="26"/>
      <c r="AN925" s="26"/>
      <c r="AO925" s="26"/>
      <c r="AP925" s="26"/>
    </row>
    <row r="926" spans="1:42" ht="12.75" customHeight="1" x14ac:dyDescent="0.2">
      <c r="A926" s="5"/>
      <c r="B926" s="5"/>
      <c r="C926" s="5"/>
      <c r="E926" s="5"/>
      <c r="F926" s="5"/>
      <c r="N926" s="5"/>
      <c r="O926" s="5"/>
      <c r="X926" s="4"/>
      <c r="Y926" s="4"/>
      <c r="Z926" s="4"/>
      <c r="AA926" s="4"/>
      <c r="AB926" s="4"/>
      <c r="AC926" s="4"/>
      <c r="AD926" s="4"/>
      <c r="AE926" s="25"/>
      <c r="AF926" s="4"/>
      <c r="AG926" s="4"/>
      <c r="AH926" s="4"/>
      <c r="AI926" s="4"/>
      <c r="AM926" s="26"/>
      <c r="AN926" s="26"/>
      <c r="AO926" s="26"/>
      <c r="AP926" s="26"/>
    </row>
    <row r="927" spans="1:42" ht="12.75" customHeight="1" x14ac:dyDescent="0.2">
      <c r="A927" s="5"/>
      <c r="B927" s="5"/>
      <c r="C927" s="5"/>
      <c r="E927" s="5"/>
      <c r="F927" s="5"/>
      <c r="N927" s="5"/>
      <c r="O927" s="5"/>
      <c r="X927" s="4"/>
      <c r="Y927" s="4"/>
      <c r="Z927" s="4"/>
      <c r="AA927" s="4"/>
      <c r="AB927" s="4"/>
      <c r="AC927" s="4"/>
      <c r="AD927" s="4"/>
      <c r="AE927" s="25"/>
      <c r="AF927" s="4"/>
      <c r="AG927" s="4"/>
      <c r="AH927" s="4"/>
      <c r="AI927" s="4"/>
      <c r="AM927" s="26"/>
      <c r="AN927" s="26"/>
      <c r="AO927" s="26"/>
      <c r="AP927" s="26"/>
    </row>
    <row r="928" spans="1:42" ht="12.75" customHeight="1" x14ac:dyDescent="0.2">
      <c r="A928" s="5"/>
      <c r="B928" s="5"/>
      <c r="C928" s="5"/>
      <c r="E928" s="5"/>
      <c r="F928" s="5"/>
      <c r="N928" s="5"/>
      <c r="O928" s="5"/>
      <c r="X928" s="4"/>
      <c r="Y928" s="4"/>
      <c r="Z928" s="4"/>
      <c r="AA928" s="4"/>
      <c r="AB928" s="4"/>
      <c r="AC928" s="4"/>
      <c r="AD928" s="4"/>
      <c r="AE928" s="25"/>
      <c r="AF928" s="4"/>
      <c r="AG928" s="4"/>
      <c r="AH928" s="4"/>
      <c r="AI928" s="4"/>
      <c r="AM928" s="26"/>
      <c r="AN928" s="26"/>
      <c r="AO928" s="26"/>
      <c r="AP928" s="26"/>
    </row>
    <row r="929" spans="1:42" ht="12.75" customHeight="1" x14ac:dyDescent="0.2">
      <c r="A929" s="5"/>
      <c r="B929" s="5"/>
      <c r="C929" s="5"/>
      <c r="E929" s="5"/>
      <c r="F929" s="5"/>
      <c r="N929" s="5"/>
      <c r="O929" s="5"/>
      <c r="X929" s="4"/>
      <c r="Y929" s="4"/>
      <c r="Z929" s="4"/>
      <c r="AA929" s="4"/>
      <c r="AB929" s="4"/>
      <c r="AC929" s="4"/>
      <c r="AD929" s="4"/>
      <c r="AE929" s="25"/>
      <c r="AF929" s="4"/>
      <c r="AG929" s="4"/>
      <c r="AH929" s="4"/>
      <c r="AI929" s="4"/>
      <c r="AM929" s="26"/>
      <c r="AN929" s="26"/>
      <c r="AO929" s="26"/>
      <c r="AP929" s="26"/>
    </row>
    <row r="930" spans="1:42" ht="12.75" customHeight="1" x14ac:dyDescent="0.2">
      <c r="A930" s="5"/>
      <c r="B930" s="5"/>
      <c r="C930" s="5"/>
      <c r="E930" s="5"/>
      <c r="F930" s="5"/>
      <c r="N930" s="5"/>
      <c r="O930" s="5"/>
      <c r="X930" s="4"/>
      <c r="Y930" s="4"/>
      <c r="Z930" s="4"/>
      <c r="AA930" s="4"/>
      <c r="AB930" s="4"/>
      <c r="AC930" s="4"/>
      <c r="AD930" s="4"/>
      <c r="AE930" s="25"/>
      <c r="AF930" s="4"/>
      <c r="AG930" s="4"/>
      <c r="AH930" s="4"/>
      <c r="AI930" s="4"/>
      <c r="AM930" s="26"/>
      <c r="AN930" s="26"/>
      <c r="AO930" s="26"/>
      <c r="AP930" s="26"/>
    </row>
    <row r="931" spans="1:42" ht="12.75" customHeight="1" x14ac:dyDescent="0.2">
      <c r="A931" s="5"/>
      <c r="B931" s="5"/>
      <c r="C931" s="5"/>
      <c r="E931" s="5"/>
      <c r="F931" s="5"/>
      <c r="N931" s="5"/>
      <c r="O931" s="5"/>
      <c r="X931" s="4"/>
      <c r="Y931" s="4"/>
      <c r="Z931" s="4"/>
      <c r="AA931" s="4"/>
      <c r="AB931" s="4"/>
      <c r="AC931" s="4"/>
      <c r="AD931" s="4"/>
      <c r="AE931" s="25"/>
      <c r="AF931" s="4"/>
      <c r="AG931" s="4"/>
      <c r="AH931" s="4"/>
      <c r="AI931" s="4"/>
      <c r="AM931" s="26"/>
      <c r="AN931" s="26"/>
      <c r="AO931" s="26"/>
      <c r="AP931" s="26"/>
    </row>
    <row r="932" spans="1:42" ht="12.75" customHeight="1" x14ac:dyDescent="0.2">
      <c r="A932" s="5"/>
      <c r="B932" s="5"/>
      <c r="C932" s="5"/>
      <c r="E932" s="5"/>
      <c r="F932" s="5"/>
      <c r="N932" s="5"/>
      <c r="O932" s="5"/>
      <c r="X932" s="4"/>
      <c r="Y932" s="4"/>
      <c r="Z932" s="4"/>
      <c r="AA932" s="4"/>
      <c r="AB932" s="4"/>
      <c r="AC932" s="4"/>
      <c r="AD932" s="4"/>
      <c r="AE932" s="25"/>
      <c r="AF932" s="4"/>
      <c r="AG932" s="4"/>
      <c r="AH932" s="4"/>
      <c r="AI932" s="4"/>
      <c r="AM932" s="26"/>
      <c r="AN932" s="26"/>
      <c r="AO932" s="26"/>
      <c r="AP932" s="26"/>
    </row>
    <row r="933" spans="1:42" ht="12.75" customHeight="1" x14ac:dyDescent="0.2">
      <c r="A933" s="5"/>
      <c r="B933" s="5"/>
      <c r="C933" s="5"/>
      <c r="E933" s="5"/>
      <c r="F933" s="5"/>
      <c r="N933" s="5"/>
      <c r="O933" s="5"/>
      <c r="X933" s="4"/>
      <c r="Y933" s="4"/>
      <c r="Z933" s="4"/>
      <c r="AA933" s="4"/>
      <c r="AB933" s="4"/>
      <c r="AC933" s="4"/>
      <c r="AD933" s="4"/>
      <c r="AE933" s="25"/>
      <c r="AF933" s="4"/>
      <c r="AG933" s="4"/>
      <c r="AH933" s="4"/>
      <c r="AI933" s="4"/>
      <c r="AM933" s="26"/>
      <c r="AN933" s="26"/>
      <c r="AO933" s="26"/>
      <c r="AP933" s="26"/>
    </row>
    <row r="934" spans="1:42" ht="12.75" customHeight="1" x14ac:dyDescent="0.2">
      <c r="A934" s="5"/>
      <c r="B934" s="5"/>
      <c r="C934" s="5"/>
      <c r="E934" s="5"/>
      <c r="F934" s="5"/>
      <c r="N934" s="5"/>
      <c r="O934" s="5"/>
      <c r="X934" s="4"/>
      <c r="Y934" s="4"/>
      <c r="Z934" s="4"/>
      <c r="AA934" s="4"/>
      <c r="AB934" s="4"/>
      <c r="AC934" s="4"/>
      <c r="AD934" s="4"/>
      <c r="AE934" s="25"/>
      <c r="AF934" s="4"/>
      <c r="AG934" s="4"/>
      <c r="AH934" s="4"/>
      <c r="AI934" s="4"/>
      <c r="AM934" s="26"/>
      <c r="AN934" s="26"/>
      <c r="AO934" s="26"/>
      <c r="AP934" s="26"/>
    </row>
    <row r="935" spans="1:42" ht="12.75" customHeight="1" x14ac:dyDescent="0.2">
      <c r="A935" s="5"/>
      <c r="B935" s="5"/>
      <c r="C935" s="5"/>
      <c r="E935" s="5"/>
      <c r="F935" s="5"/>
      <c r="N935" s="5"/>
      <c r="O935" s="5"/>
      <c r="X935" s="4"/>
      <c r="Y935" s="4"/>
      <c r="Z935" s="4"/>
      <c r="AA935" s="4"/>
      <c r="AB935" s="4"/>
      <c r="AC935" s="4"/>
      <c r="AD935" s="4"/>
      <c r="AE935" s="25"/>
      <c r="AF935" s="4"/>
      <c r="AG935" s="4"/>
      <c r="AH935" s="4"/>
      <c r="AI935" s="4"/>
      <c r="AM935" s="26"/>
      <c r="AN935" s="26"/>
      <c r="AO935" s="26"/>
      <c r="AP935" s="26"/>
    </row>
    <row r="936" spans="1:42" ht="12.75" customHeight="1" x14ac:dyDescent="0.2">
      <c r="A936" s="5"/>
      <c r="B936" s="5"/>
      <c r="C936" s="5"/>
      <c r="E936" s="5"/>
      <c r="F936" s="5"/>
      <c r="N936" s="5"/>
      <c r="O936" s="5"/>
      <c r="X936" s="4"/>
      <c r="Y936" s="4"/>
      <c r="Z936" s="4"/>
      <c r="AA936" s="4"/>
      <c r="AB936" s="4"/>
      <c r="AC936" s="4"/>
      <c r="AD936" s="4"/>
      <c r="AE936" s="25"/>
      <c r="AF936" s="4"/>
      <c r="AG936" s="4"/>
      <c r="AH936" s="4"/>
      <c r="AI936" s="4"/>
      <c r="AM936" s="26"/>
      <c r="AN936" s="26"/>
      <c r="AO936" s="26"/>
      <c r="AP936" s="26"/>
    </row>
    <row r="937" spans="1:42" ht="12.75" customHeight="1" x14ac:dyDescent="0.2">
      <c r="A937" s="5"/>
      <c r="B937" s="5"/>
      <c r="C937" s="5"/>
      <c r="E937" s="5"/>
      <c r="F937" s="5"/>
      <c r="N937" s="5"/>
      <c r="O937" s="5"/>
      <c r="X937" s="4"/>
      <c r="Y937" s="4"/>
      <c r="Z937" s="4"/>
      <c r="AA937" s="4"/>
      <c r="AB937" s="4"/>
      <c r="AC937" s="4"/>
      <c r="AD937" s="4"/>
      <c r="AE937" s="25"/>
      <c r="AF937" s="4"/>
      <c r="AG937" s="4"/>
      <c r="AH937" s="4"/>
      <c r="AI937" s="4"/>
      <c r="AM937" s="26"/>
      <c r="AN937" s="26"/>
      <c r="AO937" s="26"/>
      <c r="AP937" s="26"/>
    </row>
    <row r="938" spans="1:42" ht="12.75" customHeight="1" x14ac:dyDescent="0.2">
      <c r="A938" s="5"/>
      <c r="B938" s="5"/>
      <c r="C938" s="5"/>
      <c r="E938" s="5"/>
      <c r="F938" s="5"/>
      <c r="N938" s="5"/>
      <c r="O938" s="5"/>
      <c r="X938" s="4"/>
      <c r="Y938" s="4"/>
      <c r="Z938" s="4"/>
      <c r="AA938" s="4"/>
      <c r="AB938" s="4"/>
      <c r="AC938" s="4"/>
      <c r="AD938" s="4"/>
      <c r="AE938" s="25"/>
      <c r="AF938" s="4"/>
      <c r="AG938" s="4"/>
      <c r="AH938" s="4"/>
      <c r="AI938" s="4"/>
      <c r="AM938" s="26"/>
      <c r="AN938" s="26"/>
      <c r="AO938" s="26"/>
      <c r="AP938" s="26"/>
    </row>
    <row r="939" spans="1:42" ht="12.75" customHeight="1" x14ac:dyDescent="0.2">
      <c r="A939" s="5"/>
      <c r="B939" s="5"/>
      <c r="C939" s="5"/>
      <c r="E939" s="5"/>
      <c r="F939" s="5"/>
      <c r="N939" s="5"/>
      <c r="O939" s="5"/>
      <c r="X939" s="4"/>
      <c r="Y939" s="4"/>
      <c r="Z939" s="4"/>
      <c r="AA939" s="4"/>
      <c r="AB939" s="4"/>
      <c r="AC939" s="4"/>
      <c r="AD939" s="4"/>
      <c r="AE939" s="25"/>
      <c r="AF939" s="4"/>
      <c r="AG939" s="4"/>
      <c r="AH939" s="4"/>
      <c r="AI939" s="4"/>
      <c r="AM939" s="26"/>
      <c r="AN939" s="26"/>
      <c r="AO939" s="26"/>
      <c r="AP939" s="26"/>
    </row>
    <row r="940" spans="1:42" ht="12.75" customHeight="1" x14ac:dyDescent="0.2">
      <c r="A940" s="5"/>
      <c r="B940" s="5"/>
      <c r="C940" s="5"/>
      <c r="E940" s="5"/>
      <c r="F940" s="5"/>
      <c r="N940" s="5"/>
      <c r="O940" s="5"/>
      <c r="X940" s="4"/>
      <c r="Y940" s="4"/>
      <c r="Z940" s="4"/>
      <c r="AA940" s="4"/>
      <c r="AB940" s="4"/>
      <c r="AC940" s="4"/>
      <c r="AD940" s="4"/>
      <c r="AE940" s="25"/>
      <c r="AF940" s="4"/>
      <c r="AG940" s="4"/>
      <c r="AH940" s="4"/>
      <c r="AI940" s="4"/>
      <c r="AM940" s="26"/>
      <c r="AN940" s="26"/>
      <c r="AO940" s="26"/>
      <c r="AP940" s="26"/>
    </row>
    <row r="941" spans="1:42" ht="12.75" customHeight="1" x14ac:dyDescent="0.2">
      <c r="A941" s="5"/>
      <c r="B941" s="5"/>
      <c r="C941" s="5"/>
      <c r="E941" s="5"/>
      <c r="F941" s="5"/>
      <c r="N941" s="5"/>
      <c r="O941" s="5"/>
      <c r="X941" s="4"/>
      <c r="Y941" s="4"/>
      <c r="Z941" s="4"/>
      <c r="AA941" s="4"/>
      <c r="AB941" s="4"/>
      <c r="AC941" s="4"/>
      <c r="AD941" s="4"/>
      <c r="AE941" s="25"/>
      <c r="AF941" s="4"/>
      <c r="AG941" s="4"/>
      <c r="AH941" s="4"/>
      <c r="AI941" s="4"/>
      <c r="AM941" s="26"/>
      <c r="AN941" s="26"/>
      <c r="AO941" s="26"/>
      <c r="AP941" s="26"/>
    </row>
    <row r="942" spans="1:42" ht="12.75" customHeight="1" x14ac:dyDescent="0.2">
      <c r="A942" s="5"/>
      <c r="B942" s="5"/>
      <c r="C942" s="5"/>
      <c r="E942" s="5"/>
      <c r="F942" s="5"/>
      <c r="N942" s="5"/>
      <c r="O942" s="5"/>
      <c r="X942" s="4"/>
      <c r="Y942" s="4"/>
      <c r="Z942" s="4"/>
      <c r="AA942" s="4"/>
      <c r="AB942" s="4"/>
      <c r="AC942" s="4"/>
      <c r="AD942" s="4"/>
      <c r="AE942" s="25"/>
      <c r="AF942" s="4"/>
      <c r="AG942" s="4"/>
      <c r="AH942" s="4"/>
      <c r="AI942" s="4"/>
      <c r="AM942" s="26"/>
      <c r="AN942" s="26"/>
      <c r="AO942" s="26"/>
      <c r="AP942" s="26"/>
    </row>
    <row r="943" spans="1:42" ht="12.75" customHeight="1" x14ac:dyDescent="0.2">
      <c r="A943" s="5"/>
      <c r="B943" s="5"/>
      <c r="C943" s="5"/>
      <c r="E943" s="5"/>
      <c r="F943" s="5"/>
      <c r="N943" s="5"/>
      <c r="O943" s="5"/>
      <c r="X943" s="4"/>
      <c r="Y943" s="4"/>
      <c r="Z943" s="4"/>
      <c r="AA943" s="4"/>
      <c r="AB943" s="4"/>
      <c r="AC943" s="4"/>
      <c r="AD943" s="4"/>
      <c r="AE943" s="25"/>
      <c r="AF943" s="4"/>
      <c r="AG943" s="4"/>
      <c r="AH943" s="4"/>
      <c r="AI943" s="4"/>
      <c r="AM943" s="26"/>
      <c r="AN943" s="26"/>
      <c r="AO943" s="26"/>
      <c r="AP943" s="26"/>
    </row>
    <row r="944" spans="1:42" ht="12.75" customHeight="1" x14ac:dyDescent="0.2">
      <c r="A944" s="5"/>
      <c r="B944" s="5"/>
      <c r="C944" s="5"/>
      <c r="E944" s="5"/>
      <c r="F944" s="5"/>
      <c r="N944" s="5"/>
      <c r="O944" s="5"/>
      <c r="X944" s="4"/>
      <c r="Y944" s="4"/>
      <c r="Z944" s="4"/>
      <c r="AA944" s="4"/>
      <c r="AB944" s="4"/>
      <c r="AC944" s="4"/>
      <c r="AD944" s="4"/>
      <c r="AE944" s="25"/>
      <c r="AF944" s="4"/>
      <c r="AG944" s="4"/>
      <c r="AH944" s="4"/>
      <c r="AI944" s="4"/>
      <c r="AM944" s="26"/>
      <c r="AN944" s="26"/>
      <c r="AO944" s="26"/>
      <c r="AP944" s="26"/>
    </row>
    <row r="945" spans="1:42" ht="12.75" customHeight="1" x14ac:dyDescent="0.2">
      <c r="A945" s="5"/>
      <c r="B945" s="5"/>
      <c r="C945" s="5"/>
      <c r="E945" s="5"/>
      <c r="F945" s="5"/>
      <c r="N945" s="5"/>
      <c r="O945" s="5"/>
      <c r="X945" s="4"/>
      <c r="Y945" s="4"/>
      <c r="Z945" s="4"/>
      <c r="AA945" s="4"/>
      <c r="AB945" s="4"/>
      <c r="AC945" s="4"/>
      <c r="AD945" s="4"/>
      <c r="AE945" s="25"/>
      <c r="AF945" s="4"/>
      <c r="AG945" s="4"/>
      <c r="AH945" s="4"/>
      <c r="AI945" s="4"/>
      <c r="AM945" s="26"/>
      <c r="AN945" s="26"/>
      <c r="AO945" s="26"/>
      <c r="AP945" s="26"/>
    </row>
    <row r="946" spans="1:42" ht="12.75" customHeight="1" x14ac:dyDescent="0.2">
      <c r="A946" s="5"/>
      <c r="B946" s="5"/>
      <c r="C946" s="5"/>
      <c r="E946" s="5"/>
      <c r="F946" s="5"/>
      <c r="N946" s="5"/>
      <c r="O946" s="5"/>
      <c r="X946" s="4"/>
      <c r="Y946" s="4"/>
      <c r="Z946" s="4"/>
      <c r="AA946" s="4"/>
      <c r="AB946" s="4"/>
      <c r="AC946" s="4"/>
      <c r="AD946" s="4"/>
      <c r="AE946" s="25"/>
      <c r="AF946" s="4"/>
      <c r="AG946" s="4"/>
      <c r="AH946" s="4"/>
      <c r="AI946" s="4"/>
      <c r="AM946" s="26"/>
      <c r="AN946" s="26"/>
      <c r="AO946" s="26"/>
      <c r="AP946" s="26"/>
    </row>
    <row r="947" spans="1:42" ht="12.75" customHeight="1" x14ac:dyDescent="0.2">
      <c r="A947" s="5"/>
      <c r="B947" s="5"/>
      <c r="C947" s="5"/>
      <c r="E947" s="5"/>
      <c r="F947" s="5"/>
      <c r="N947" s="5"/>
      <c r="O947" s="5"/>
      <c r="X947" s="4"/>
      <c r="Y947" s="4"/>
      <c r="Z947" s="4"/>
      <c r="AA947" s="4"/>
      <c r="AB947" s="4"/>
      <c r="AC947" s="4"/>
      <c r="AD947" s="4"/>
      <c r="AE947" s="25"/>
      <c r="AF947" s="4"/>
      <c r="AG947" s="4"/>
      <c r="AH947" s="4"/>
      <c r="AI947" s="4"/>
      <c r="AM947" s="26"/>
      <c r="AN947" s="26"/>
      <c r="AO947" s="26"/>
      <c r="AP947" s="26"/>
    </row>
    <row r="948" spans="1:42" ht="12.75" customHeight="1" x14ac:dyDescent="0.2">
      <c r="A948" s="5"/>
      <c r="B948" s="5"/>
      <c r="C948" s="5"/>
      <c r="E948" s="5"/>
      <c r="F948" s="5"/>
      <c r="N948" s="5"/>
      <c r="O948" s="5"/>
      <c r="X948" s="4"/>
      <c r="Y948" s="4"/>
      <c r="Z948" s="4"/>
      <c r="AA948" s="4"/>
      <c r="AB948" s="4"/>
      <c r="AC948" s="4"/>
      <c r="AD948" s="4"/>
      <c r="AE948" s="25"/>
      <c r="AF948" s="4"/>
      <c r="AG948" s="4"/>
      <c r="AH948" s="4"/>
      <c r="AI948" s="4"/>
      <c r="AM948" s="26"/>
      <c r="AN948" s="26"/>
      <c r="AO948" s="26"/>
      <c r="AP948" s="26"/>
    </row>
    <row r="949" spans="1:42" ht="12.75" customHeight="1" x14ac:dyDescent="0.2">
      <c r="A949" s="5"/>
      <c r="B949" s="5"/>
      <c r="C949" s="5"/>
      <c r="E949" s="5"/>
      <c r="F949" s="5"/>
      <c r="N949" s="5"/>
      <c r="O949" s="5"/>
      <c r="X949" s="4"/>
      <c r="Y949" s="4"/>
      <c r="Z949" s="4"/>
      <c r="AA949" s="4"/>
      <c r="AB949" s="4"/>
      <c r="AC949" s="4"/>
      <c r="AD949" s="4"/>
      <c r="AE949" s="25"/>
      <c r="AF949" s="4"/>
      <c r="AG949" s="4"/>
      <c r="AH949" s="4"/>
      <c r="AI949" s="4"/>
      <c r="AM949" s="26"/>
      <c r="AN949" s="26"/>
      <c r="AO949" s="26"/>
      <c r="AP949" s="26"/>
    </row>
    <row r="950" spans="1:42" ht="12.75" customHeight="1" x14ac:dyDescent="0.2">
      <c r="A950" s="5"/>
      <c r="B950" s="5"/>
      <c r="C950" s="5"/>
      <c r="E950" s="5"/>
      <c r="F950" s="5"/>
      <c r="N950" s="5"/>
      <c r="O950" s="5"/>
      <c r="X950" s="4"/>
      <c r="Y950" s="4"/>
      <c r="Z950" s="4"/>
      <c r="AA950" s="4"/>
      <c r="AB950" s="4"/>
      <c r="AC950" s="4"/>
      <c r="AD950" s="4"/>
      <c r="AE950" s="25"/>
      <c r="AF950" s="4"/>
      <c r="AG950" s="4"/>
      <c r="AH950" s="4"/>
      <c r="AI950" s="4"/>
      <c r="AM950" s="26"/>
      <c r="AN950" s="26"/>
      <c r="AO950" s="26"/>
      <c r="AP950" s="26"/>
    </row>
    <row r="951" spans="1:42" ht="12.75" customHeight="1" x14ac:dyDescent="0.2">
      <c r="A951" s="5"/>
      <c r="B951" s="5"/>
      <c r="C951" s="5"/>
      <c r="E951" s="5"/>
      <c r="F951" s="5"/>
      <c r="N951" s="5"/>
      <c r="O951" s="5"/>
      <c r="X951" s="4"/>
      <c r="Y951" s="4"/>
      <c r="Z951" s="4"/>
      <c r="AA951" s="4"/>
      <c r="AB951" s="4"/>
      <c r="AC951" s="4"/>
      <c r="AD951" s="4"/>
      <c r="AE951" s="25"/>
      <c r="AF951" s="4"/>
      <c r="AG951" s="4"/>
      <c r="AH951" s="4"/>
      <c r="AI951" s="4"/>
      <c r="AM951" s="26"/>
      <c r="AN951" s="26"/>
      <c r="AO951" s="26"/>
      <c r="AP951" s="26"/>
    </row>
    <row r="952" spans="1:42" ht="12.75" customHeight="1" x14ac:dyDescent="0.2">
      <c r="A952" s="5"/>
      <c r="B952" s="5"/>
      <c r="C952" s="5"/>
      <c r="E952" s="5"/>
      <c r="F952" s="5"/>
      <c r="N952" s="5"/>
      <c r="O952" s="5"/>
      <c r="X952" s="4"/>
      <c r="Y952" s="4"/>
      <c r="Z952" s="4"/>
      <c r="AA952" s="4"/>
      <c r="AB952" s="4"/>
      <c r="AC952" s="4"/>
      <c r="AD952" s="4"/>
      <c r="AE952" s="25"/>
      <c r="AF952" s="4"/>
      <c r="AG952" s="4"/>
      <c r="AH952" s="4"/>
      <c r="AI952" s="4"/>
      <c r="AM952" s="26"/>
      <c r="AN952" s="26"/>
      <c r="AO952" s="26"/>
      <c r="AP952" s="26"/>
    </row>
    <row r="953" spans="1:42" ht="12.75" customHeight="1" x14ac:dyDescent="0.2">
      <c r="A953" s="5"/>
      <c r="B953" s="5"/>
      <c r="C953" s="5"/>
      <c r="E953" s="5"/>
      <c r="F953" s="5"/>
      <c r="N953" s="5"/>
      <c r="O953" s="5"/>
      <c r="X953" s="4"/>
      <c r="Y953" s="4"/>
      <c r="Z953" s="4"/>
      <c r="AA953" s="4"/>
      <c r="AB953" s="4"/>
      <c r="AC953" s="4"/>
      <c r="AD953" s="4"/>
      <c r="AE953" s="25"/>
      <c r="AF953" s="4"/>
      <c r="AG953" s="4"/>
      <c r="AH953" s="4"/>
      <c r="AI953" s="4"/>
      <c r="AM953" s="26"/>
      <c r="AN953" s="26"/>
      <c r="AO953" s="26"/>
      <c r="AP953" s="26"/>
    </row>
    <row r="954" spans="1:42" ht="12.75" customHeight="1" x14ac:dyDescent="0.2">
      <c r="A954" s="5"/>
      <c r="B954" s="5"/>
      <c r="C954" s="5"/>
      <c r="E954" s="5"/>
      <c r="F954" s="5"/>
      <c r="N954" s="5"/>
      <c r="O954" s="5"/>
      <c r="X954" s="4"/>
      <c r="Y954" s="4"/>
      <c r="Z954" s="4"/>
      <c r="AA954" s="4"/>
      <c r="AB954" s="4"/>
      <c r="AC954" s="4"/>
      <c r="AD954" s="4"/>
      <c r="AE954" s="25"/>
      <c r="AF954" s="4"/>
      <c r="AG954" s="4"/>
      <c r="AH954" s="4"/>
      <c r="AI954" s="4"/>
      <c r="AM954" s="26"/>
      <c r="AN954" s="26"/>
      <c r="AO954" s="26"/>
      <c r="AP954" s="26"/>
    </row>
    <row r="955" spans="1:42" ht="12.75" customHeight="1" x14ac:dyDescent="0.2">
      <c r="A955" s="5"/>
      <c r="B955" s="5"/>
      <c r="C955" s="5"/>
      <c r="E955" s="5"/>
      <c r="F955" s="5"/>
      <c r="N955" s="5"/>
      <c r="O955" s="5"/>
      <c r="X955" s="4"/>
      <c r="Y955" s="4"/>
      <c r="Z955" s="4"/>
      <c r="AA955" s="4"/>
      <c r="AB955" s="4"/>
      <c r="AC955" s="4"/>
      <c r="AD955" s="4"/>
      <c r="AE955" s="25"/>
      <c r="AF955" s="4"/>
      <c r="AG955" s="4"/>
      <c r="AH955" s="4"/>
      <c r="AI955" s="4"/>
      <c r="AM955" s="26"/>
      <c r="AN955" s="26"/>
      <c r="AO955" s="26"/>
      <c r="AP955" s="26"/>
    </row>
    <row r="956" spans="1:42" ht="12.75" customHeight="1" x14ac:dyDescent="0.2">
      <c r="A956" s="5"/>
      <c r="B956" s="5"/>
      <c r="C956" s="5"/>
      <c r="E956" s="5"/>
      <c r="F956" s="5"/>
      <c r="N956" s="5"/>
      <c r="O956" s="5"/>
      <c r="X956" s="4"/>
      <c r="Y956" s="4"/>
      <c r="Z956" s="4"/>
      <c r="AA956" s="4"/>
      <c r="AB956" s="4"/>
      <c r="AC956" s="4"/>
      <c r="AD956" s="4"/>
      <c r="AE956" s="25"/>
      <c r="AF956" s="4"/>
      <c r="AG956" s="4"/>
      <c r="AH956" s="4"/>
      <c r="AI956" s="4"/>
      <c r="AM956" s="26"/>
      <c r="AN956" s="26"/>
      <c r="AO956" s="26"/>
      <c r="AP956" s="26"/>
    </row>
    <row r="957" spans="1:42" ht="12.75" customHeight="1" x14ac:dyDescent="0.2">
      <c r="A957" s="5"/>
      <c r="B957" s="5"/>
      <c r="C957" s="5"/>
      <c r="E957" s="5"/>
      <c r="F957" s="5"/>
      <c r="N957" s="5"/>
      <c r="O957" s="5"/>
      <c r="X957" s="4"/>
      <c r="Y957" s="4"/>
      <c r="Z957" s="4"/>
      <c r="AA957" s="4"/>
      <c r="AB957" s="4"/>
      <c r="AC957" s="4"/>
      <c r="AD957" s="4"/>
      <c r="AE957" s="25"/>
      <c r="AF957" s="4"/>
      <c r="AG957" s="4"/>
      <c r="AH957" s="4"/>
      <c r="AI957" s="4"/>
      <c r="AM957" s="26"/>
      <c r="AN957" s="26"/>
      <c r="AO957" s="26"/>
      <c r="AP957" s="26"/>
    </row>
    <row r="958" spans="1:42" ht="12.75" customHeight="1" x14ac:dyDescent="0.2">
      <c r="A958" s="5"/>
      <c r="B958" s="5"/>
      <c r="C958" s="5"/>
      <c r="E958" s="5"/>
      <c r="F958" s="5"/>
      <c r="N958" s="5"/>
      <c r="O958" s="5"/>
      <c r="X958" s="4"/>
      <c r="Y958" s="4"/>
      <c r="Z958" s="4"/>
      <c r="AA958" s="4"/>
      <c r="AB958" s="4"/>
      <c r="AC958" s="4"/>
      <c r="AD958" s="4"/>
      <c r="AE958" s="25"/>
      <c r="AF958" s="4"/>
      <c r="AG958" s="4"/>
      <c r="AH958" s="4"/>
      <c r="AI958" s="4"/>
      <c r="AM958" s="26"/>
      <c r="AN958" s="26"/>
      <c r="AO958" s="26"/>
      <c r="AP958" s="26"/>
    </row>
    <row r="959" spans="1:42" ht="12.75" customHeight="1" x14ac:dyDescent="0.2">
      <c r="A959" s="5"/>
      <c r="B959" s="5"/>
      <c r="C959" s="5"/>
      <c r="E959" s="5"/>
      <c r="F959" s="5"/>
      <c r="N959" s="5"/>
      <c r="O959" s="5"/>
      <c r="X959" s="4"/>
      <c r="Y959" s="4"/>
      <c r="Z959" s="4"/>
      <c r="AA959" s="4"/>
      <c r="AB959" s="4"/>
      <c r="AC959" s="4"/>
      <c r="AD959" s="4"/>
      <c r="AE959" s="25"/>
      <c r="AF959" s="4"/>
      <c r="AG959" s="4"/>
      <c r="AH959" s="4"/>
      <c r="AI959" s="4"/>
      <c r="AM959" s="26"/>
      <c r="AN959" s="26"/>
      <c r="AO959" s="26"/>
      <c r="AP959" s="26"/>
    </row>
    <row r="960" spans="1:42" ht="12.75" customHeight="1" x14ac:dyDescent="0.2">
      <c r="A960" s="5"/>
      <c r="B960" s="5"/>
      <c r="C960" s="5"/>
      <c r="E960" s="5"/>
      <c r="F960" s="5"/>
      <c r="N960" s="5"/>
      <c r="O960" s="5"/>
      <c r="X960" s="4"/>
      <c r="Y960" s="4"/>
      <c r="Z960" s="4"/>
      <c r="AA960" s="4"/>
      <c r="AB960" s="4"/>
      <c r="AC960" s="4"/>
      <c r="AD960" s="4"/>
      <c r="AE960" s="25"/>
      <c r="AF960" s="4"/>
      <c r="AG960" s="4"/>
      <c r="AH960" s="4"/>
      <c r="AI960" s="4"/>
      <c r="AM960" s="26"/>
      <c r="AN960" s="26"/>
      <c r="AO960" s="26"/>
      <c r="AP960" s="26"/>
    </row>
    <row r="961" spans="1:42" ht="12.75" customHeight="1" x14ac:dyDescent="0.2">
      <c r="A961" s="5"/>
      <c r="B961" s="5"/>
      <c r="C961" s="5"/>
      <c r="E961" s="5"/>
      <c r="F961" s="5"/>
      <c r="N961" s="5"/>
      <c r="O961" s="5"/>
      <c r="X961" s="4"/>
      <c r="Y961" s="4"/>
      <c r="Z961" s="4"/>
      <c r="AA961" s="4"/>
      <c r="AB961" s="4"/>
      <c r="AC961" s="4"/>
      <c r="AD961" s="4"/>
      <c r="AE961" s="25"/>
      <c r="AF961" s="4"/>
      <c r="AG961" s="4"/>
      <c r="AH961" s="4"/>
      <c r="AI961" s="4"/>
      <c r="AM961" s="26"/>
      <c r="AN961" s="26"/>
      <c r="AO961" s="26"/>
      <c r="AP961" s="26"/>
    </row>
    <row r="962" spans="1:42" ht="12.75" customHeight="1" x14ac:dyDescent="0.2">
      <c r="A962" s="5"/>
      <c r="B962" s="5"/>
      <c r="C962" s="5"/>
      <c r="E962" s="5"/>
      <c r="F962" s="5"/>
      <c r="N962" s="5"/>
      <c r="O962" s="5"/>
      <c r="X962" s="4"/>
      <c r="Y962" s="4"/>
      <c r="Z962" s="4"/>
      <c r="AA962" s="4"/>
      <c r="AB962" s="4"/>
      <c r="AC962" s="4"/>
      <c r="AD962" s="4"/>
      <c r="AE962" s="25"/>
      <c r="AF962" s="4"/>
      <c r="AG962" s="4"/>
      <c r="AH962" s="4"/>
      <c r="AI962" s="4"/>
      <c r="AM962" s="26"/>
      <c r="AN962" s="26"/>
      <c r="AO962" s="26"/>
      <c r="AP962" s="26"/>
    </row>
    <row r="963" spans="1:42" ht="12.75" customHeight="1" x14ac:dyDescent="0.2">
      <c r="A963" s="5"/>
      <c r="B963" s="5"/>
      <c r="C963" s="5"/>
      <c r="E963" s="5"/>
      <c r="F963" s="5"/>
      <c r="N963" s="5"/>
      <c r="O963" s="5"/>
      <c r="X963" s="4"/>
      <c r="Y963" s="4"/>
      <c r="Z963" s="4"/>
      <c r="AA963" s="4"/>
      <c r="AB963" s="4"/>
      <c r="AC963" s="4"/>
      <c r="AD963" s="4"/>
      <c r="AE963" s="25"/>
      <c r="AF963" s="4"/>
      <c r="AG963" s="4"/>
      <c r="AH963" s="4"/>
      <c r="AI963" s="4"/>
      <c r="AM963" s="26"/>
      <c r="AN963" s="26"/>
      <c r="AO963" s="26"/>
      <c r="AP963" s="26"/>
    </row>
    <row r="964" spans="1:42" ht="12.75" customHeight="1" x14ac:dyDescent="0.2">
      <c r="A964" s="5"/>
      <c r="B964" s="5"/>
      <c r="C964" s="5"/>
      <c r="E964" s="5"/>
      <c r="F964" s="5"/>
      <c r="N964" s="5"/>
      <c r="O964" s="5"/>
      <c r="X964" s="4"/>
      <c r="Y964" s="4"/>
      <c r="Z964" s="4"/>
      <c r="AA964" s="4"/>
      <c r="AB964" s="4"/>
      <c r="AC964" s="4"/>
      <c r="AD964" s="4"/>
      <c r="AE964" s="25"/>
      <c r="AF964" s="4"/>
      <c r="AG964" s="4"/>
      <c r="AH964" s="4"/>
      <c r="AI964" s="4"/>
      <c r="AM964" s="26"/>
      <c r="AN964" s="26"/>
      <c r="AO964" s="26"/>
      <c r="AP964" s="26"/>
    </row>
    <row r="965" spans="1:42" ht="12.75" customHeight="1" x14ac:dyDescent="0.2">
      <c r="A965" s="5"/>
      <c r="B965" s="5"/>
      <c r="C965" s="5"/>
      <c r="E965" s="5"/>
      <c r="F965" s="5"/>
      <c r="N965" s="5"/>
      <c r="O965" s="5"/>
      <c r="X965" s="4"/>
      <c r="Y965" s="4"/>
      <c r="Z965" s="4"/>
      <c r="AA965" s="4"/>
      <c r="AB965" s="4"/>
      <c r="AC965" s="4"/>
      <c r="AD965" s="4"/>
      <c r="AE965" s="25"/>
      <c r="AF965" s="4"/>
      <c r="AG965" s="4"/>
      <c r="AH965" s="4"/>
      <c r="AI965" s="4"/>
      <c r="AM965" s="26"/>
      <c r="AN965" s="26"/>
      <c r="AO965" s="26"/>
      <c r="AP965" s="26"/>
    </row>
    <row r="966" spans="1:42" ht="12.75" customHeight="1" x14ac:dyDescent="0.2">
      <c r="A966" s="5"/>
      <c r="B966" s="5"/>
      <c r="C966" s="5"/>
      <c r="E966" s="5"/>
      <c r="F966" s="5"/>
      <c r="N966" s="5"/>
      <c r="O966" s="5"/>
      <c r="X966" s="4"/>
      <c r="Y966" s="4"/>
      <c r="Z966" s="4"/>
      <c r="AA966" s="4"/>
      <c r="AB966" s="4"/>
      <c r="AC966" s="4"/>
      <c r="AD966" s="4"/>
      <c r="AE966" s="25"/>
      <c r="AF966" s="4"/>
      <c r="AG966" s="4"/>
      <c r="AH966" s="4"/>
      <c r="AI966" s="4"/>
      <c r="AM966" s="26"/>
      <c r="AN966" s="26"/>
      <c r="AO966" s="26"/>
      <c r="AP966" s="26"/>
    </row>
    <row r="967" spans="1:42" ht="12.75" customHeight="1" x14ac:dyDescent="0.2">
      <c r="A967" s="5"/>
      <c r="B967" s="5"/>
      <c r="C967" s="5"/>
      <c r="E967" s="5"/>
      <c r="F967" s="5"/>
      <c r="N967" s="5"/>
      <c r="O967" s="5"/>
      <c r="X967" s="4"/>
      <c r="Y967" s="4"/>
      <c r="Z967" s="4"/>
      <c r="AA967" s="4"/>
      <c r="AB967" s="4"/>
      <c r="AC967" s="4"/>
      <c r="AD967" s="4"/>
      <c r="AE967" s="25"/>
      <c r="AF967" s="4"/>
      <c r="AG967" s="4"/>
      <c r="AH967" s="4"/>
      <c r="AI967" s="4"/>
      <c r="AM967" s="26"/>
      <c r="AN967" s="26"/>
      <c r="AO967" s="26"/>
      <c r="AP967" s="26"/>
    </row>
    <row r="968" spans="1:42" ht="12.75" customHeight="1" x14ac:dyDescent="0.2">
      <c r="A968" s="5"/>
      <c r="B968" s="5"/>
      <c r="C968" s="5"/>
      <c r="E968" s="5"/>
      <c r="F968" s="5"/>
      <c r="N968" s="5"/>
      <c r="O968" s="5"/>
      <c r="X968" s="4"/>
      <c r="Y968" s="4"/>
      <c r="Z968" s="4"/>
      <c r="AA968" s="4"/>
      <c r="AB968" s="4"/>
      <c r="AC968" s="4"/>
      <c r="AD968" s="4"/>
      <c r="AE968" s="25"/>
      <c r="AF968" s="4"/>
      <c r="AG968" s="4"/>
      <c r="AH968" s="4"/>
      <c r="AI968" s="4"/>
      <c r="AM968" s="26"/>
      <c r="AN968" s="26"/>
      <c r="AO968" s="26"/>
      <c r="AP968" s="26"/>
    </row>
    <row r="969" spans="1:42" ht="12.75" customHeight="1" x14ac:dyDescent="0.2">
      <c r="A969" s="5"/>
      <c r="B969" s="5"/>
      <c r="C969" s="5"/>
      <c r="E969" s="5"/>
      <c r="F969" s="5"/>
      <c r="N969" s="5"/>
      <c r="O969" s="5"/>
      <c r="X969" s="4"/>
      <c r="Y969" s="4"/>
      <c r="Z969" s="4"/>
      <c r="AA969" s="4"/>
      <c r="AB969" s="4"/>
      <c r="AC969" s="4"/>
      <c r="AD969" s="4"/>
      <c r="AE969" s="25"/>
      <c r="AF969" s="4"/>
      <c r="AG969" s="4"/>
      <c r="AH969" s="4"/>
      <c r="AI969" s="4"/>
      <c r="AM969" s="26"/>
      <c r="AN969" s="26"/>
      <c r="AO969" s="26"/>
      <c r="AP969" s="26"/>
    </row>
    <row r="970" spans="1:42" ht="12.75" customHeight="1" x14ac:dyDescent="0.2">
      <c r="A970" s="5"/>
      <c r="B970" s="5"/>
      <c r="C970" s="5"/>
      <c r="E970" s="5"/>
      <c r="F970" s="5"/>
      <c r="N970" s="5"/>
      <c r="O970" s="5"/>
      <c r="X970" s="4"/>
      <c r="Y970" s="4"/>
      <c r="Z970" s="4"/>
      <c r="AA970" s="4"/>
      <c r="AB970" s="4"/>
      <c r="AC970" s="4"/>
      <c r="AD970" s="4"/>
      <c r="AE970" s="25"/>
      <c r="AF970" s="4"/>
      <c r="AG970" s="4"/>
      <c r="AH970" s="4"/>
      <c r="AI970" s="4"/>
      <c r="AM970" s="26"/>
      <c r="AN970" s="26"/>
      <c r="AO970" s="26"/>
      <c r="AP970" s="26"/>
    </row>
    <row r="971" spans="1:42" ht="12.75" customHeight="1" x14ac:dyDescent="0.2">
      <c r="A971" s="5"/>
      <c r="B971" s="5"/>
      <c r="C971" s="5"/>
      <c r="E971" s="5"/>
      <c r="F971" s="5"/>
      <c r="N971" s="5"/>
      <c r="O971" s="5"/>
      <c r="X971" s="4"/>
      <c r="Y971" s="4"/>
      <c r="Z971" s="4"/>
      <c r="AA971" s="4"/>
      <c r="AB971" s="4"/>
      <c r="AC971" s="4"/>
      <c r="AD971" s="4"/>
      <c r="AE971" s="25"/>
      <c r="AF971" s="4"/>
      <c r="AG971" s="4"/>
      <c r="AH971" s="4"/>
      <c r="AI971" s="4"/>
      <c r="AM971" s="26"/>
      <c r="AN971" s="26"/>
      <c r="AO971" s="26"/>
      <c r="AP971" s="26"/>
    </row>
    <row r="972" spans="1:42" ht="12.75" customHeight="1" x14ac:dyDescent="0.2">
      <c r="A972" s="5"/>
      <c r="B972" s="5"/>
      <c r="C972" s="5"/>
      <c r="E972" s="5"/>
      <c r="F972" s="5"/>
      <c r="N972" s="5"/>
      <c r="O972" s="5"/>
      <c r="X972" s="4"/>
      <c r="Y972" s="4"/>
      <c r="Z972" s="4"/>
      <c r="AA972" s="4"/>
      <c r="AB972" s="4"/>
      <c r="AC972" s="4"/>
      <c r="AD972" s="4"/>
      <c r="AE972" s="25"/>
      <c r="AF972" s="4"/>
      <c r="AG972" s="4"/>
      <c r="AH972" s="4"/>
      <c r="AI972" s="4"/>
      <c r="AM972" s="26"/>
      <c r="AN972" s="26"/>
      <c r="AO972" s="26"/>
      <c r="AP972" s="26"/>
    </row>
    <row r="973" spans="1:42" ht="12.75" customHeight="1" x14ac:dyDescent="0.2">
      <c r="A973" s="5"/>
      <c r="B973" s="5"/>
      <c r="C973" s="5"/>
      <c r="E973" s="5"/>
      <c r="F973" s="5"/>
      <c r="N973" s="5"/>
      <c r="O973" s="5"/>
      <c r="X973" s="4"/>
      <c r="Y973" s="4"/>
      <c r="Z973" s="4"/>
      <c r="AA973" s="4"/>
      <c r="AB973" s="4"/>
      <c r="AC973" s="4"/>
      <c r="AD973" s="4"/>
      <c r="AE973" s="25"/>
      <c r="AF973" s="4"/>
      <c r="AG973" s="4"/>
      <c r="AH973" s="4"/>
      <c r="AI973" s="4"/>
      <c r="AM973" s="26"/>
      <c r="AN973" s="26"/>
      <c r="AO973" s="26"/>
      <c r="AP973" s="26"/>
    </row>
    <row r="974" spans="1:42" ht="12.75" customHeight="1" x14ac:dyDescent="0.2">
      <c r="A974" s="5"/>
      <c r="B974" s="5"/>
      <c r="C974" s="5"/>
      <c r="E974" s="5"/>
      <c r="F974" s="5"/>
      <c r="N974" s="5"/>
      <c r="O974" s="5"/>
      <c r="X974" s="4"/>
      <c r="Y974" s="4"/>
      <c r="Z974" s="4"/>
      <c r="AA974" s="4"/>
      <c r="AB974" s="4"/>
      <c r="AC974" s="4"/>
      <c r="AD974" s="4"/>
      <c r="AE974" s="25"/>
      <c r="AF974" s="4"/>
      <c r="AG974" s="4"/>
      <c r="AH974" s="4"/>
      <c r="AI974" s="4"/>
      <c r="AM974" s="26"/>
      <c r="AN974" s="26"/>
      <c r="AO974" s="26"/>
      <c r="AP974" s="26"/>
    </row>
    <row r="975" spans="1:42" ht="12.75" customHeight="1" x14ac:dyDescent="0.2">
      <c r="A975" s="5"/>
      <c r="B975" s="5"/>
      <c r="C975" s="5"/>
      <c r="E975" s="5"/>
      <c r="F975" s="5"/>
      <c r="N975" s="5"/>
      <c r="O975" s="5"/>
      <c r="X975" s="4"/>
      <c r="Y975" s="4"/>
      <c r="Z975" s="4"/>
      <c r="AA975" s="4"/>
      <c r="AB975" s="4"/>
      <c r="AC975" s="4"/>
      <c r="AD975" s="4"/>
      <c r="AE975" s="25"/>
      <c r="AF975" s="4"/>
      <c r="AG975" s="4"/>
      <c r="AH975" s="4"/>
      <c r="AI975" s="4"/>
      <c r="AM975" s="26"/>
      <c r="AN975" s="26"/>
      <c r="AO975" s="26"/>
      <c r="AP975" s="26"/>
    </row>
    <row r="976" spans="1:42" ht="12.75" customHeight="1" x14ac:dyDescent="0.2">
      <c r="A976" s="5"/>
      <c r="B976" s="5"/>
      <c r="C976" s="5"/>
      <c r="E976" s="5"/>
      <c r="F976" s="5"/>
      <c r="N976" s="5"/>
      <c r="O976" s="5"/>
      <c r="X976" s="4"/>
      <c r="Y976" s="4"/>
      <c r="Z976" s="4"/>
      <c r="AA976" s="4"/>
      <c r="AB976" s="4"/>
      <c r="AC976" s="4"/>
      <c r="AD976" s="4"/>
      <c r="AE976" s="25"/>
      <c r="AF976" s="4"/>
      <c r="AG976" s="4"/>
      <c r="AH976" s="4"/>
      <c r="AI976" s="4"/>
      <c r="AM976" s="26"/>
      <c r="AN976" s="26"/>
      <c r="AO976" s="26"/>
      <c r="AP976" s="26"/>
    </row>
    <row r="977" spans="1:42" ht="12.75" customHeight="1" x14ac:dyDescent="0.2">
      <c r="A977" s="5"/>
      <c r="B977" s="5"/>
      <c r="C977" s="5"/>
      <c r="E977" s="5"/>
      <c r="F977" s="5"/>
      <c r="N977" s="5"/>
      <c r="O977" s="5"/>
      <c r="X977" s="4"/>
      <c r="Y977" s="4"/>
      <c r="Z977" s="4"/>
      <c r="AA977" s="4"/>
      <c r="AB977" s="4"/>
      <c r="AC977" s="4"/>
      <c r="AD977" s="4"/>
      <c r="AE977" s="25"/>
      <c r="AF977" s="4"/>
      <c r="AG977" s="4"/>
      <c r="AH977" s="4"/>
      <c r="AI977" s="4"/>
      <c r="AM977" s="26"/>
      <c r="AN977" s="26"/>
      <c r="AO977" s="26"/>
      <c r="AP977" s="26"/>
    </row>
    <row r="978" spans="1:42" ht="12.75" customHeight="1" x14ac:dyDescent="0.2">
      <c r="A978" s="5"/>
      <c r="B978" s="5"/>
      <c r="C978" s="5"/>
      <c r="E978" s="5"/>
      <c r="F978" s="5"/>
      <c r="N978" s="5"/>
      <c r="O978" s="5"/>
      <c r="X978" s="4"/>
      <c r="Y978" s="4"/>
      <c r="Z978" s="4"/>
      <c r="AA978" s="4"/>
      <c r="AB978" s="4"/>
      <c r="AC978" s="4"/>
      <c r="AD978" s="4"/>
      <c r="AE978" s="25"/>
      <c r="AF978" s="4"/>
      <c r="AG978" s="4"/>
      <c r="AH978" s="4"/>
      <c r="AI978" s="4"/>
      <c r="AM978" s="26"/>
      <c r="AN978" s="26"/>
      <c r="AO978" s="26"/>
      <c r="AP978" s="26"/>
    </row>
    <row r="979" spans="1:42" ht="12.75" customHeight="1" x14ac:dyDescent="0.2">
      <c r="A979" s="5"/>
      <c r="B979" s="5"/>
      <c r="C979" s="5"/>
      <c r="E979" s="5"/>
      <c r="F979" s="5"/>
      <c r="N979" s="5"/>
      <c r="O979" s="5"/>
      <c r="X979" s="4"/>
      <c r="Y979" s="4"/>
      <c r="Z979" s="4"/>
      <c r="AA979" s="4"/>
      <c r="AB979" s="4"/>
      <c r="AC979" s="4"/>
      <c r="AD979" s="4"/>
      <c r="AE979" s="25"/>
      <c r="AF979" s="4"/>
      <c r="AG979" s="4"/>
      <c r="AH979" s="4"/>
      <c r="AI979" s="4"/>
      <c r="AM979" s="26"/>
      <c r="AN979" s="26"/>
      <c r="AO979" s="26"/>
      <c r="AP979" s="26"/>
    </row>
    <row r="980" spans="1:42" ht="12.75" customHeight="1" x14ac:dyDescent="0.2">
      <c r="A980" s="5"/>
      <c r="B980" s="5"/>
      <c r="C980" s="5"/>
      <c r="E980" s="5"/>
      <c r="F980" s="5"/>
      <c r="N980" s="5"/>
      <c r="O980" s="5"/>
      <c r="X980" s="4"/>
      <c r="Y980" s="4"/>
      <c r="Z980" s="4"/>
      <c r="AA980" s="4"/>
      <c r="AB980" s="4"/>
      <c r="AC980" s="4"/>
      <c r="AD980" s="4"/>
      <c r="AE980" s="25"/>
      <c r="AF980" s="4"/>
      <c r="AG980" s="4"/>
      <c r="AH980" s="4"/>
      <c r="AI980" s="4"/>
      <c r="AM980" s="26"/>
      <c r="AN980" s="26"/>
      <c r="AO980" s="26"/>
      <c r="AP980" s="26"/>
    </row>
    <row r="981" spans="1:42" ht="12.75" customHeight="1" x14ac:dyDescent="0.2">
      <c r="A981" s="5"/>
      <c r="B981" s="5"/>
      <c r="C981" s="5"/>
      <c r="E981" s="5"/>
      <c r="F981" s="5"/>
      <c r="N981" s="5"/>
      <c r="O981" s="5"/>
      <c r="X981" s="4"/>
      <c r="Y981" s="4"/>
      <c r="Z981" s="4"/>
      <c r="AA981" s="4"/>
      <c r="AB981" s="4"/>
      <c r="AC981" s="4"/>
      <c r="AD981" s="4"/>
      <c r="AE981" s="25"/>
      <c r="AF981" s="4"/>
      <c r="AG981" s="4"/>
      <c r="AH981" s="4"/>
      <c r="AI981" s="4"/>
      <c r="AM981" s="26"/>
      <c r="AN981" s="26"/>
      <c r="AO981" s="26"/>
      <c r="AP981" s="26"/>
    </row>
    <row r="982" spans="1:42" ht="12.75" customHeight="1" x14ac:dyDescent="0.2">
      <c r="A982" s="5"/>
      <c r="B982" s="5"/>
      <c r="C982" s="5"/>
      <c r="E982" s="5"/>
      <c r="F982" s="5"/>
      <c r="N982" s="5"/>
      <c r="O982" s="5"/>
      <c r="X982" s="4"/>
      <c r="Y982" s="4"/>
      <c r="Z982" s="4"/>
      <c r="AA982" s="4"/>
      <c r="AB982" s="4"/>
      <c r="AC982" s="4"/>
      <c r="AD982" s="4"/>
      <c r="AE982" s="25"/>
      <c r="AF982" s="4"/>
      <c r="AG982" s="4"/>
      <c r="AH982" s="4"/>
      <c r="AI982" s="4"/>
      <c r="AM982" s="26"/>
      <c r="AN982" s="26"/>
      <c r="AO982" s="26"/>
      <c r="AP982" s="26"/>
    </row>
    <row r="983" spans="1:42" ht="12.75" customHeight="1" x14ac:dyDescent="0.2">
      <c r="A983" s="5"/>
      <c r="B983" s="5"/>
      <c r="C983" s="5"/>
      <c r="E983" s="5"/>
      <c r="F983" s="5"/>
      <c r="N983" s="5"/>
      <c r="O983" s="5"/>
      <c r="X983" s="4"/>
      <c r="Y983" s="4"/>
      <c r="Z983" s="4"/>
      <c r="AA983" s="4"/>
      <c r="AB983" s="4"/>
      <c r="AC983" s="4"/>
      <c r="AD983" s="4"/>
      <c r="AE983" s="25"/>
      <c r="AF983" s="4"/>
      <c r="AG983" s="4"/>
      <c r="AH983" s="4"/>
      <c r="AI983" s="4"/>
      <c r="AM983" s="26"/>
      <c r="AN983" s="26"/>
      <c r="AO983" s="26"/>
      <c r="AP983" s="26"/>
    </row>
    <row r="984" spans="1:42" ht="12.75" customHeight="1" x14ac:dyDescent="0.2">
      <c r="A984" s="5"/>
      <c r="B984" s="5"/>
      <c r="C984" s="5"/>
      <c r="E984" s="5"/>
      <c r="F984" s="5"/>
      <c r="N984" s="5"/>
      <c r="O984" s="5"/>
      <c r="X984" s="4"/>
      <c r="Y984" s="4"/>
      <c r="Z984" s="4"/>
      <c r="AA984" s="4"/>
      <c r="AB984" s="4"/>
      <c r="AC984" s="4"/>
      <c r="AD984" s="4"/>
      <c r="AE984" s="25"/>
      <c r="AF984" s="4"/>
      <c r="AG984" s="4"/>
      <c r="AH984" s="4"/>
      <c r="AI984" s="4"/>
      <c r="AM984" s="26"/>
      <c r="AN984" s="26"/>
      <c r="AO984" s="26"/>
      <c r="AP984" s="26"/>
    </row>
    <row r="985" spans="1:42" ht="12.75" customHeight="1" x14ac:dyDescent="0.2">
      <c r="A985" s="5"/>
      <c r="B985" s="5"/>
      <c r="C985" s="5"/>
      <c r="E985" s="5"/>
      <c r="F985" s="5"/>
      <c r="N985" s="5"/>
      <c r="O985" s="5"/>
      <c r="X985" s="4"/>
      <c r="Y985" s="4"/>
      <c r="Z985" s="4"/>
      <c r="AA985" s="4"/>
      <c r="AB985" s="4"/>
      <c r="AC985" s="4"/>
      <c r="AD985" s="4"/>
      <c r="AE985" s="25"/>
      <c r="AF985" s="4"/>
      <c r="AG985" s="4"/>
      <c r="AH985" s="4"/>
      <c r="AI985" s="4"/>
      <c r="AM985" s="26"/>
      <c r="AN985" s="26"/>
      <c r="AO985" s="26"/>
      <c r="AP985" s="26"/>
    </row>
    <row r="986" spans="1:42" ht="12.75" customHeight="1" x14ac:dyDescent="0.2">
      <c r="A986" s="5"/>
      <c r="B986" s="5"/>
      <c r="C986" s="5"/>
      <c r="E986" s="5"/>
      <c r="F986" s="5"/>
      <c r="N986" s="5"/>
      <c r="O986" s="5"/>
      <c r="X986" s="4"/>
      <c r="Y986" s="4"/>
      <c r="Z986" s="4"/>
      <c r="AA986" s="4"/>
      <c r="AB986" s="4"/>
      <c r="AC986" s="4"/>
      <c r="AD986" s="4"/>
      <c r="AE986" s="25"/>
      <c r="AF986" s="4"/>
      <c r="AG986" s="4"/>
      <c r="AH986" s="4"/>
      <c r="AI986" s="4"/>
      <c r="AM986" s="26"/>
      <c r="AN986" s="26"/>
      <c r="AO986" s="26"/>
      <c r="AP986" s="26"/>
    </row>
    <row r="987" spans="1:42" ht="12.75" customHeight="1" x14ac:dyDescent="0.2">
      <c r="A987" s="5"/>
      <c r="B987" s="5"/>
      <c r="C987" s="5"/>
      <c r="E987" s="5"/>
      <c r="F987" s="5"/>
      <c r="N987" s="5"/>
      <c r="O987" s="5"/>
      <c r="X987" s="4"/>
      <c r="Y987" s="4"/>
      <c r="Z987" s="4"/>
      <c r="AA987" s="4"/>
      <c r="AB987" s="4"/>
      <c r="AC987" s="4"/>
      <c r="AD987" s="4"/>
      <c r="AE987" s="25"/>
      <c r="AF987" s="4"/>
      <c r="AG987" s="4"/>
      <c r="AH987" s="4"/>
      <c r="AI987" s="4"/>
      <c r="AM987" s="26"/>
      <c r="AN987" s="26"/>
      <c r="AO987" s="26"/>
      <c r="AP987" s="26"/>
    </row>
    <row r="988" spans="1:42" ht="12.75" customHeight="1" x14ac:dyDescent="0.2">
      <c r="A988" s="5"/>
      <c r="B988" s="5"/>
      <c r="C988" s="5"/>
      <c r="E988" s="5"/>
      <c r="F988" s="5"/>
      <c r="N988" s="5"/>
      <c r="O988" s="5"/>
      <c r="X988" s="4"/>
      <c r="Y988" s="4"/>
      <c r="Z988" s="4"/>
      <c r="AA988" s="4"/>
      <c r="AB988" s="4"/>
      <c r="AC988" s="4"/>
      <c r="AD988" s="4"/>
      <c r="AE988" s="25"/>
      <c r="AF988" s="4"/>
      <c r="AG988" s="4"/>
      <c r="AH988" s="4"/>
      <c r="AI988" s="4"/>
      <c r="AM988" s="26"/>
      <c r="AN988" s="26"/>
      <c r="AO988" s="26"/>
      <c r="AP988" s="26"/>
    </row>
    <row r="989" spans="1:42" ht="12.75" customHeight="1" x14ac:dyDescent="0.2">
      <c r="A989" s="5"/>
      <c r="B989" s="5"/>
      <c r="C989" s="5"/>
      <c r="E989" s="5"/>
      <c r="F989" s="5"/>
      <c r="N989" s="5"/>
      <c r="O989" s="5"/>
      <c r="X989" s="4"/>
      <c r="Y989" s="4"/>
      <c r="Z989" s="4"/>
      <c r="AA989" s="4"/>
      <c r="AB989" s="4"/>
      <c r="AC989" s="4"/>
      <c r="AD989" s="4"/>
      <c r="AE989" s="25"/>
      <c r="AF989" s="4"/>
      <c r="AG989" s="4"/>
      <c r="AH989" s="4"/>
      <c r="AI989" s="4"/>
      <c r="AM989" s="26"/>
      <c r="AN989" s="26"/>
      <c r="AO989" s="26"/>
      <c r="AP989" s="26"/>
    </row>
    <row r="990" spans="1:42" ht="12.75" customHeight="1" x14ac:dyDescent="0.2">
      <c r="A990" s="5"/>
      <c r="B990" s="5"/>
      <c r="C990" s="5"/>
      <c r="E990" s="5"/>
      <c r="F990" s="5"/>
      <c r="N990" s="5"/>
      <c r="O990" s="5"/>
      <c r="X990" s="4"/>
      <c r="Y990" s="4"/>
      <c r="Z990" s="4"/>
      <c r="AA990" s="4"/>
      <c r="AB990" s="4"/>
      <c r="AC990" s="4"/>
      <c r="AD990" s="4"/>
      <c r="AE990" s="25"/>
      <c r="AF990" s="4"/>
      <c r="AG990" s="4"/>
      <c r="AH990" s="4"/>
      <c r="AI990" s="4"/>
      <c r="AM990" s="26"/>
      <c r="AN990" s="26"/>
      <c r="AO990" s="26"/>
      <c r="AP990" s="26"/>
    </row>
    <row r="991" spans="1:42" ht="12.75" customHeight="1" x14ac:dyDescent="0.2">
      <c r="A991" s="5"/>
      <c r="B991" s="5"/>
      <c r="C991" s="5"/>
      <c r="E991" s="5"/>
      <c r="F991" s="5"/>
      <c r="N991" s="5"/>
      <c r="O991" s="5"/>
      <c r="X991" s="4"/>
      <c r="Y991" s="4"/>
      <c r="Z991" s="4"/>
      <c r="AA991" s="4"/>
      <c r="AB991" s="4"/>
      <c r="AC991" s="4"/>
      <c r="AD991" s="4"/>
      <c r="AE991" s="25"/>
      <c r="AF991" s="4"/>
      <c r="AG991" s="4"/>
      <c r="AH991" s="4"/>
      <c r="AI991" s="4"/>
      <c r="AM991" s="26"/>
      <c r="AN991" s="26"/>
      <c r="AO991" s="26"/>
      <c r="AP991" s="26"/>
    </row>
    <row r="992" spans="1:42" ht="12.75" customHeight="1" x14ac:dyDescent="0.2">
      <c r="A992" s="5"/>
      <c r="B992" s="5"/>
      <c r="C992" s="5"/>
      <c r="E992" s="5"/>
      <c r="F992" s="5"/>
      <c r="N992" s="5"/>
      <c r="O992" s="5"/>
      <c r="X992" s="4"/>
      <c r="Y992" s="4"/>
      <c r="Z992" s="4"/>
      <c r="AA992" s="4"/>
      <c r="AB992" s="4"/>
      <c r="AC992" s="4"/>
      <c r="AD992" s="4"/>
      <c r="AE992" s="25"/>
      <c r="AF992" s="4"/>
      <c r="AG992" s="4"/>
      <c r="AH992" s="4"/>
      <c r="AI992" s="4"/>
      <c r="AM992" s="26"/>
      <c r="AN992" s="26"/>
      <c r="AO992" s="26"/>
      <c r="AP992" s="26"/>
    </row>
    <row r="993" spans="1:42" ht="12.75" customHeight="1" x14ac:dyDescent="0.2">
      <c r="A993" s="5"/>
      <c r="B993" s="5"/>
      <c r="C993" s="5"/>
      <c r="E993" s="5"/>
      <c r="F993" s="5"/>
      <c r="N993" s="5"/>
      <c r="O993" s="5"/>
      <c r="X993" s="4"/>
      <c r="Y993" s="4"/>
      <c r="Z993" s="4"/>
      <c r="AA993" s="4"/>
      <c r="AB993" s="4"/>
      <c r="AC993" s="4"/>
      <c r="AD993" s="4"/>
      <c r="AE993" s="25"/>
      <c r="AF993" s="4"/>
      <c r="AG993" s="4"/>
      <c r="AH993" s="4"/>
      <c r="AI993" s="4"/>
      <c r="AM993" s="26"/>
      <c r="AN993" s="26"/>
      <c r="AO993" s="26"/>
      <c r="AP993" s="26"/>
    </row>
    <row r="994" spans="1:42" ht="12.75" customHeight="1" x14ac:dyDescent="0.2">
      <c r="A994" s="5"/>
      <c r="B994" s="5"/>
      <c r="C994" s="5"/>
      <c r="E994" s="5"/>
      <c r="F994" s="5"/>
      <c r="N994" s="5"/>
      <c r="O994" s="5"/>
      <c r="X994" s="4"/>
      <c r="Y994" s="4"/>
      <c r="Z994" s="4"/>
      <c r="AA994" s="4"/>
      <c r="AB994" s="4"/>
      <c r="AC994" s="4"/>
      <c r="AD994" s="4"/>
      <c r="AE994" s="25"/>
      <c r="AF994" s="4"/>
      <c r="AG994" s="4"/>
      <c r="AH994" s="4"/>
      <c r="AI994" s="4"/>
      <c r="AM994" s="26"/>
      <c r="AN994" s="26"/>
      <c r="AO994" s="26"/>
      <c r="AP994" s="26"/>
    </row>
    <row r="995" spans="1:42" ht="12.75" customHeight="1" x14ac:dyDescent="0.2">
      <c r="A995" s="5"/>
      <c r="B995" s="5"/>
      <c r="C995" s="5"/>
      <c r="E995" s="5"/>
      <c r="F995" s="5"/>
      <c r="N995" s="5"/>
      <c r="O995" s="5"/>
      <c r="X995" s="4"/>
      <c r="Y995" s="4"/>
      <c r="Z995" s="4"/>
      <c r="AA995" s="4"/>
      <c r="AB995" s="4"/>
      <c r="AC995" s="4"/>
      <c r="AD995" s="4"/>
      <c r="AE995" s="25"/>
      <c r="AF995" s="4"/>
      <c r="AG995" s="4"/>
      <c r="AH995" s="4"/>
      <c r="AI995" s="4"/>
      <c r="AM995" s="26"/>
      <c r="AN995" s="26"/>
      <c r="AO995" s="26"/>
      <c r="AP995" s="26"/>
    </row>
    <row r="996" spans="1:42" ht="12.75" customHeight="1" x14ac:dyDescent="0.2">
      <c r="A996" s="5"/>
      <c r="B996" s="5"/>
      <c r="C996" s="5"/>
      <c r="E996" s="5"/>
      <c r="F996" s="5"/>
      <c r="N996" s="5"/>
      <c r="O996" s="5"/>
      <c r="X996" s="4"/>
      <c r="Y996" s="4"/>
      <c r="Z996" s="4"/>
      <c r="AA996" s="4"/>
      <c r="AB996" s="4"/>
      <c r="AC996" s="4"/>
      <c r="AD996" s="4"/>
      <c r="AE996" s="25"/>
      <c r="AF996" s="4"/>
      <c r="AG996" s="4"/>
      <c r="AH996" s="4"/>
      <c r="AI996" s="4"/>
      <c r="AM996" s="26"/>
      <c r="AN996" s="26"/>
      <c r="AO996" s="26"/>
      <c r="AP996" s="26"/>
    </row>
    <row r="997" spans="1:42" ht="12.75" customHeight="1" x14ac:dyDescent="0.2">
      <c r="A997" s="5"/>
      <c r="B997" s="5"/>
      <c r="C997" s="5"/>
      <c r="E997" s="5"/>
      <c r="F997" s="5"/>
      <c r="N997" s="5"/>
      <c r="O997" s="5"/>
      <c r="X997" s="4"/>
      <c r="Y997" s="4"/>
      <c r="Z997" s="4"/>
      <c r="AA997" s="4"/>
      <c r="AB997" s="4"/>
      <c r="AC997" s="4"/>
      <c r="AD997" s="4"/>
      <c r="AE997" s="25"/>
      <c r="AF997" s="4"/>
      <c r="AG997" s="4"/>
      <c r="AH997" s="4"/>
      <c r="AI997" s="4"/>
      <c r="AM997" s="26"/>
      <c r="AN997" s="26"/>
      <c r="AO997" s="26"/>
      <c r="AP997" s="26"/>
    </row>
    <row r="998" spans="1:42" ht="12.75" customHeight="1" x14ac:dyDescent="0.2">
      <c r="A998" s="5"/>
      <c r="B998" s="5"/>
      <c r="C998" s="5"/>
      <c r="E998" s="5"/>
      <c r="F998" s="5"/>
      <c r="N998" s="5"/>
      <c r="O998" s="5"/>
      <c r="X998" s="4"/>
      <c r="Y998" s="4"/>
      <c r="Z998" s="4"/>
      <c r="AA998" s="4"/>
      <c r="AB998" s="4"/>
      <c r="AC998" s="4"/>
      <c r="AD998" s="4"/>
      <c r="AE998" s="25"/>
      <c r="AF998" s="4"/>
      <c r="AG998" s="4"/>
      <c r="AH998" s="4"/>
      <c r="AI998" s="4"/>
      <c r="AM998" s="26"/>
      <c r="AN998" s="26"/>
      <c r="AO998" s="26"/>
      <c r="AP998" s="26"/>
    </row>
    <row r="999" spans="1:42" ht="12.75" customHeight="1" x14ac:dyDescent="0.2">
      <c r="A999" s="5"/>
      <c r="B999" s="5"/>
      <c r="C999" s="5"/>
      <c r="E999" s="5"/>
      <c r="F999" s="5"/>
      <c r="N999" s="5"/>
      <c r="O999" s="5"/>
      <c r="X999" s="4"/>
      <c r="Y999" s="4"/>
      <c r="Z999" s="4"/>
      <c r="AA999" s="4"/>
      <c r="AB999" s="4"/>
      <c r="AC999" s="4"/>
      <c r="AD999" s="4"/>
      <c r="AE999" s="25"/>
      <c r="AF999" s="4"/>
      <c r="AG999" s="4"/>
      <c r="AH999" s="4"/>
      <c r="AI999" s="4"/>
      <c r="AM999" s="26"/>
      <c r="AN999" s="26"/>
      <c r="AO999" s="26"/>
      <c r="AP999" s="26"/>
    </row>
    <row r="1000" spans="1:42" ht="12.75" customHeight="1" x14ac:dyDescent="0.2">
      <c r="A1000" s="5"/>
      <c r="B1000" s="5"/>
      <c r="C1000" s="5"/>
      <c r="E1000" s="5"/>
      <c r="F1000" s="5"/>
      <c r="N1000" s="5"/>
      <c r="O1000" s="5"/>
      <c r="X1000" s="4"/>
      <c r="Y1000" s="4"/>
      <c r="Z1000" s="4"/>
      <c r="AA1000" s="4"/>
      <c r="AB1000" s="4"/>
      <c r="AC1000" s="4"/>
      <c r="AD1000" s="4"/>
      <c r="AE1000" s="25"/>
      <c r="AF1000" s="4"/>
      <c r="AG1000" s="4"/>
      <c r="AH1000" s="4"/>
      <c r="AI1000" s="4"/>
      <c r="AM1000" s="26"/>
      <c r="AN1000" s="26"/>
      <c r="AO1000" s="26"/>
      <c r="AP1000" s="26"/>
    </row>
    <row r="1001" spans="1:42" ht="12.75" customHeight="1" x14ac:dyDescent="0.2">
      <c r="A1001" s="5"/>
      <c r="B1001" s="5"/>
      <c r="C1001" s="5"/>
      <c r="E1001" s="5"/>
      <c r="F1001" s="5"/>
      <c r="N1001" s="5"/>
      <c r="O1001" s="5"/>
      <c r="X1001" s="4"/>
      <c r="Y1001" s="4"/>
      <c r="Z1001" s="4"/>
      <c r="AA1001" s="4"/>
      <c r="AB1001" s="4"/>
      <c r="AC1001" s="4"/>
      <c r="AD1001" s="4"/>
      <c r="AE1001" s="25"/>
      <c r="AF1001" s="4"/>
      <c r="AG1001" s="4"/>
      <c r="AH1001" s="4"/>
      <c r="AI1001" s="4"/>
      <c r="AM1001" s="26"/>
      <c r="AN1001" s="26"/>
      <c r="AO1001" s="26"/>
      <c r="AP1001" s="26"/>
    </row>
    <row r="1002" spans="1:42" ht="12.75" customHeight="1" x14ac:dyDescent="0.2">
      <c r="A1002" s="5"/>
      <c r="B1002" s="5"/>
      <c r="C1002" s="5"/>
      <c r="E1002" s="5"/>
      <c r="F1002" s="5"/>
      <c r="N1002" s="5"/>
      <c r="O1002" s="5"/>
      <c r="X1002" s="4"/>
      <c r="Y1002" s="4"/>
      <c r="Z1002" s="4"/>
      <c r="AA1002" s="4"/>
      <c r="AB1002" s="4"/>
      <c r="AC1002" s="4"/>
      <c r="AD1002" s="4"/>
      <c r="AE1002" s="25"/>
      <c r="AF1002" s="4"/>
      <c r="AG1002" s="4"/>
      <c r="AH1002" s="4"/>
      <c r="AI1002" s="4"/>
      <c r="AM1002" s="26"/>
      <c r="AN1002" s="26"/>
      <c r="AO1002" s="26"/>
      <c r="AP1002" s="26"/>
    </row>
    <row r="1003" spans="1:42" ht="12.75" customHeight="1" x14ac:dyDescent="0.2">
      <c r="A1003" s="5"/>
      <c r="B1003" s="5"/>
      <c r="C1003" s="5"/>
      <c r="E1003" s="5"/>
      <c r="F1003" s="5"/>
      <c r="N1003" s="5"/>
      <c r="O1003" s="5"/>
      <c r="X1003" s="4"/>
      <c r="Y1003" s="4"/>
      <c r="Z1003" s="4"/>
      <c r="AA1003" s="4"/>
      <c r="AB1003" s="4"/>
      <c r="AC1003" s="4"/>
      <c r="AD1003" s="4"/>
      <c r="AE1003" s="25"/>
      <c r="AF1003" s="4"/>
      <c r="AG1003" s="4"/>
      <c r="AH1003" s="4"/>
      <c r="AI1003" s="4"/>
      <c r="AM1003" s="26"/>
      <c r="AN1003" s="26"/>
      <c r="AO1003" s="26"/>
      <c r="AP1003" s="26"/>
    </row>
    <row r="1004" spans="1:42" ht="12.75" customHeight="1" x14ac:dyDescent="0.2">
      <c r="A1004" s="5"/>
      <c r="B1004" s="5"/>
      <c r="C1004" s="5"/>
      <c r="E1004" s="5"/>
      <c r="F1004" s="5"/>
      <c r="N1004" s="5"/>
      <c r="O1004" s="5"/>
      <c r="X1004" s="4"/>
      <c r="Y1004" s="4"/>
      <c r="Z1004" s="4"/>
      <c r="AA1004" s="4"/>
      <c r="AB1004" s="4"/>
      <c r="AC1004" s="4"/>
      <c r="AD1004" s="4"/>
      <c r="AE1004" s="25"/>
      <c r="AF1004" s="4"/>
      <c r="AG1004" s="4"/>
      <c r="AH1004" s="4"/>
      <c r="AI1004" s="4"/>
      <c r="AM1004" s="26"/>
      <c r="AN1004" s="26"/>
      <c r="AO1004" s="26"/>
      <c r="AP1004" s="26"/>
    </row>
  </sheetData>
  <mergeCells count="100">
    <mergeCell ref="A13:A17"/>
    <mergeCell ref="O26:O27"/>
    <mergeCell ref="P26:P27"/>
    <mergeCell ref="F26:F27"/>
    <mergeCell ref="Y2:Z2"/>
    <mergeCell ref="D3:F3"/>
    <mergeCell ref="D4:F7"/>
    <mergeCell ref="Z10:AC11"/>
    <mergeCell ref="A2:A7"/>
    <mergeCell ref="B10:B11"/>
    <mergeCell ref="C10:C11"/>
    <mergeCell ref="B13:B17"/>
    <mergeCell ref="Q13:Q17"/>
    <mergeCell ref="F10:F11"/>
    <mergeCell ref="D10:D11"/>
    <mergeCell ref="C13:C17"/>
    <mergeCell ref="A40:C44"/>
    <mergeCell ref="D40:E44"/>
    <mergeCell ref="A34:C39"/>
    <mergeCell ref="D34:E39"/>
    <mergeCell ref="F34:F39"/>
    <mergeCell ref="F40:F44"/>
    <mergeCell ref="A28:C33"/>
    <mergeCell ref="D28:E33"/>
    <mergeCell ref="D26:E27"/>
    <mergeCell ref="A26:C27"/>
    <mergeCell ref="N28:N33"/>
    <mergeCell ref="F28:F33"/>
    <mergeCell ref="N26:N27"/>
    <mergeCell ref="AE13:AE17"/>
    <mergeCell ref="AE18:AE22"/>
    <mergeCell ref="AE28:AE33"/>
    <mergeCell ref="AE40:AE44"/>
    <mergeCell ref="Z13:Z17"/>
    <mergeCell ref="AA13:AA17"/>
    <mergeCell ref="AB13:AB17"/>
    <mergeCell ref="AC13:AC17"/>
    <mergeCell ref="Z18:Z22"/>
    <mergeCell ref="AA18:AA22"/>
    <mergeCell ref="AB18:AB22"/>
    <mergeCell ref="AC18:AC22"/>
    <mergeCell ref="AE34:AE39"/>
    <mergeCell ref="N3:U3"/>
    <mergeCell ref="N4:U4"/>
    <mergeCell ref="N5:U5"/>
    <mergeCell ref="N6:U6"/>
    <mergeCell ref="D13:D17"/>
    <mergeCell ref="G10:L10"/>
    <mergeCell ref="O13:O17"/>
    <mergeCell ref="P13:P17"/>
    <mergeCell ref="N8:V8"/>
    <mergeCell ref="V4:W6"/>
    <mergeCell ref="G45:P45"/>
    <mergeCell ref="X12:Y12"/>
    <mergeCell ref="A10:A11"/>
    <mergeCell ref="N18:N22"/>
    <mergeCell ref="O18:O22"/>
    <mergeCell ref="P18:P22"/>
    <mergeCell ref="N13:N17"/>
    <mergeCell ref="A45:F45"/>
    <mergeCell ref="Q40:Q44"/>
    <mergeCell ref="P40:P44"/>
    <mergeCell ref="N40:N44"/>
    <mergeCell ref="O40:O44"/>
    <mergeCell ref="Q26:Q27"/>
    <mergeCell ref="A18:A22"/>
    <mergeCell ref="G26:L26"/>
    <mergeCell ref="B18:B22"/>
    <mergeCell ref="C18:C22"/>
    <mergeCell ref="D18:D22"/>
    <mergeCell ref="G4:M4"/>
    <mergeCell ref="G5:M5"/>
    <mergeCell ref="G6:M6"/>
    <mergeCell ref="B2:C4"/>
    <mergeCell ref="B5:C7"/>
    <mergeCell ref="D2:W2"/>
    <mergeCell ref="Q18:Q22"/>
    <mergeCell ref="R10:W11"/>
    <mergeCell ref="Q10:Q11"/>
    <mergeCell ref="P10:P11"/>
    <mergeCell ref="N10:N11"/>
    <mergeCell ref="O10:O11"/>
    <mergeCell ref="V3:W3"/>
    <mergeCell ref="G3:M3"/>
    <mergeCell ref="G46:P46"/>
    <mergeCell ref="G23:O23"/>
    <mergeCell ref="A25:W25"/>
    <mergeCell ref="A9:Y9"/>
    <mergeCell ref="N34:N39"/>
    <mergeCell ref="O34:O39"/>
    <mergeCell ref="P34:P39"/>
    <mergeCell ref="Q34:Q39"/>
    <mergeCell ref="X10:Y11"/>
    <mergeCell ref="P28:P33"/>
    <mergeCell ref="Q28:Q33"/>
    <mergeCell ref="O28:O33"/>
    <mergeCell ref="R26:W26"/>
    <mergeCell ref="E13:E17"/>
    <mergeCell ref="E10:E11"/>
    <mergeCell ref="E18:E22"/>
  </mergeCells>
  <dataValidations count="2">
    <dataValidation type="list" allowBlank="1" showInputMessage="1" showErrorMessage="1" sqref="N28:N44">
      <formula1>Actividad</formula1>
    </dataValidation>
    <dataValidation type="list" allowBlank="1" showInputMessage="1" showErrorMessage="1" sqref="Z4">
      <formula1>$AG$4:$AG$5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F28 F40 F34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6" t="s">
        <v>39</v>
      </c>
    </row>
    <row r="2" spans="1:4" x14ac:dyDescent="0.2">
      <c r="A2" t="s">
        <v>35</v>
      </c>
      <c r="C2" s="6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6" t="s">
        <v>42</v>
      </c>
    </row>
    <row r="7" spans="1:4" x14ac:dyDescent="0.2">
      <c r="A7" s="6" t="s">
        <v>43</v>
      </c>
    </row>
    <row r="8" spans="1:4" x14ac:dyDescent="0.2">
      <c r="A8" s="6" t="s">
        <v>25</v>
      </c>
    </row>
    <row r="13" spans="1:4" x14ac:dyDescent="0.2">
      <c r="D13" s="14">
        <v>0.33333333333333331</v>
      </c>
    </row>
    <row r="14" spans="1:4" x14ac:dyDescent="0.2">
      <c r="D14" s="12" t="e">
        <f>'RMI - Septiembre - 2017'!#REF!</f>
        <v>#REF!</v>
      </c>
    </row>
    <row r="15" spans="1:4" x14ac:dyDescent="0.2">
      <c r="D15" s="15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Septiembre 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Toshiba</cp:lastModifiedBy>
  <dcterms:created xsi:type="dcterms:W3CDTF">2017-01-11T00:53:31Z</dcterms:created>
  <dcterms:modified xsi:type="dcterms:W3CDTF">2017-12-13T01:20:59Z</dcterms:modified>
</cp:coreProperties>
</file>