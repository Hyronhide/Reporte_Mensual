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440" windowHeight="7530"/>
  </bookViews>
  <sheets>
    <sheet name="RMI - NOV - 2017" sheetId="2" r:id="rId1"/>
    <sheet name="Hoja1" sheetId="3" state="hidden" r:id="rId2"/>
  </sheets>
  <functionGroups builtInGroupCount="17"/>
  <definedNames>
    <definedName name="Actividad">Hoja1!$C$1:$C$2</definedName>
    <definedName name="ColorRef">'RMI - NOV - 2017'!$AE$11</definedName>
    <definedName name="Mes">'RMI - NOV - 2017'!#REF!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U28" i="2" l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T28" i="2"/>
  <c r="AR13" i="2" l="1"/>
  <c r="AQ13" i="2"/>
  <c r="AP13" i="2"/>
  <c r="AO13" i="2"/>
  <c r="AN13" i="2"/>
  <c r="AM13" i="2"/>
  <c r="T13" i="2"/>
  <c r="U13" i="2" s="1"/>
  <c r="V13" i="2" s="1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AK17" i="2"/>
  <c r="AJ17" i="2"/>
  <c r="AI17" i="2"/>
  <c r="AH17" i="2"/>
  <c r="AI13" i="2"/>
  <c r="AK14" i="2"/>
  <c r="AK15" i="2"/>
  <c r="AJ13" i="2"/>
  <c r="AG16" i="2"/>
  <c r="AK16" i="2"/>
  <c r="AH16" i="2"/>
  <c r="AI16" i="2"/>
  <c r="AF13" i="2"/>
  <c r="AG17" i="2"/>
  <c r="AJ16" i="2"/>
  <c r="AK13" i="2"/>
  <c r="AM14" i="2" l="1"/>
  <c r="AM15" i="2" s="1"/>
  <c r="AQ14" i="2"/>
  <c r="AQ15" i="2" s="1"/>
  <c r="AP14" i="2"/>
  <c r="AP15" i="2" s="1"/>
  <c r="AR14" i="2"/>
  <c r="AR15" i="2" s="1"/>
  <c r="AO14" i="2"/>
  <c r="AO15" i="2" s="1"/>
  <c r="AN14" i="2"/>
  <c r="AN15" i="2" s="1"/>
  <c r="AO16" i="2" l="1"/>
  <c r="Q38" i="2" l="1"/>
  <c r="Q39" i="2" s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23" i="2"/>
  <c r="AO44" i="2"/>
  <c r="AR18" i="2"/>
  <c r="AQ18" i="2"/>
  <c r="AP18" i="2"/>
  <c r="AO18" i="2"/>
  <c r="AN18" i="2"/>
  <c r="AM18" i="2"/>
  <c r="AO45" i="2"/>
  <c r="AO46" i="2"/>
  <c r="D15" i="3"/>
  <c r="AO51" i="2"/>
  <c r="D14" i="3"/>
  <c r="D16" i="3" s="1"/>
  <c r="Q23" i="2"/>
  <c r="AO47" i="2" l="1"/>
  <c r="Z7" i="2"/>
  <c r="AG33" i="2"/>
  <c r="AK28" i="2"/>
  <c r="AI22" i="2"/>
  <c r="AK21" i="2"/>
  <c r="AH34" i="2"/>
  <c r="AH32" i="2"/>
  <c r="AK34" i="2"/>
  <c r="AG32" i="2"/>
  <c r="AK33" i="2"/>
  <c r="AF18" i="2"/>
  <c r="AJ18" i="2"/>
  <c r="AF22" i="2"/>
  <c r="AJ32" i="2"/>
  <c r="AJ33" i="2"/>
  <c r="AG37" i="2"/>
  <c r="AH18" i="2"/>
  <c r="AI36" i="2"/>
  <c r="AH35" i="2"/>
  <c r="AG18" i="2"/>
  <c r="AJ34" i="2"/>
  <c r="AF37" i="2"/>
  <c r="AJ36" i="2"/>
  <c r="AF30" i="2"/>
  <c r="AI32" i="2"/>
  <c r="AJ29" i="2"/>
  <c r="AF34" i="2"/>
  <c r="AF19" i="2"/>
  <c r="AK20" i="2"/>
  <c r="AI29" i="2"/>
  <c r="AJ35" i="2"/>
  <c r="AI30" i="2"/>
  <c r="AH33" i="2"/>
  <c r="AG19" i="2"/>
  <c r="AI20" i="2"/>
  <c r="AH28" i="2"/>
  <c r="AH31" i="2"/>
  <c r="AK30" i="2"/>
  <c r="AJ30" i="2"/>
  <c r="AJ20" i="2"/>
  <c r="AG34" i="2"/>
  <c r="AI18" i="2"/>
  <c r="AF21" i="2"/>
  <c r="AG29" i="2"/>
  <c r="AG22" i="2"/>
  <c r="AG20" i="2"/>
  <c r="AG21" i="2"/>
  <c r="AK19" i="2"/>
  <c r="AK36" i="2"/>
  <c r="AH20" i="2"/>
  <c r="AJ28" i="2"/>
  <c r="AI19" i="2"/>
  <c r="AK35" i="2"/>
  <c r="AF35" i="2"/>
  <c r="AH19" i="2"/>
  <c r="AK31" i="2"/>
  <c r="AH30" i="2"/>
  <c r="AK29" i="2"/>
  <c r="AJ37" i="2"/>
  <c r="AG31" i="2"/>
  <c r="AH29" i="2"/>
  <c r="AF20" i="2"/>
  <c r="AF29" i="2"/>
  <c r="AI31" i="2"/>
  <c r="AK22" i="2"/>
  <c r="AH37" i="2"/>
  <c r="AH36" i="2"/>
  <c r="AG35" i="2"/>
  <c r="AG30" i="2"/>
  <c r="AI35" i="2"/>
  <c r="AG28" i="2"/>
  <c r="AK18" i="2"/>
  <c r="AJ31" i="2"/>
  <c r="AJ21" i="2"/>
  <c r="AF28" i="2"/>
  <c r="AH21" i="2"/>
  <c r="AF36" i="2"/>
  <c r="AF32" i="2"/>
  <c r="AK37" i="2"/>
  <c r="AI28" i="2"/>
  <c r="AI21" i="2"/>
  <c r="AK32" i="2"/>
  <c r="AF33" i="2"/>
  <c r="AH22" i="2"/>
  <c r="AJ22" i="2"/>
  <c r="AG36" i="2"/>
  <c r="AI34" i="2"/>
  <c r="AI33" i="2"/>
  <c r="AJ19" i="2"/>
  <c r="AF31" i="2"/>
  <c r="AI37" i="2"/>
  <c r="AM29" i="2" l="1"/>
  <c r="AM30" i="2" s="1"/>
  <c r="AO19" i="2"/>
  <c r="AO20" i="2" s="1"/>
  <c r="AP29" i="2"/>
  <c r="AP30" i="2" s="1"/>
  <c r="AM34" i="2"/>
  <c r="AM35" i="2" s="1"/>
  <c r="AO29" i="2"/>
  <c r="AO30" i="2" s="1"/>
  <c r="AQ19" i="2"/>
  <c r="AQ20" i="2" s="1"/>
  <c r="AP34" i="2"/>
  <c r="AP35" i="2" s="1"/>
  <c r="AR34" i="2"/>
  <c r="AR35" i="2" s="1"/>
  <c r="AR19" i="2"/>
  <c r="AR20" i="2" s="1"/>
  <c r="AN19" i="2"/>
  <c r="AN20" i="2" s="1"/>
  <c r="AN34" i="2"/>
  <c r="AN35" i="2" s="1"/>
  <c r="AP19" i="2"/>
  <c r="AP20" i="2" s="1"/>
  <c r="AQ29" i="2"/>
  <c r="AQ30" i="2" s="1"/>
  <c r="AQ34" i="2"/>
  <c r="AQ35" i="2" s="1"/>
  <c r="AR29" i="2"/>
  <c r="AR30" i="2" s="1"/>
  <c r="AM19" i="2"/>
  <c r="AM20" i="2" s="1"/>
  <c r="AN29" i="2"/>
  <c r="AN30" i="2" s="1"/>
  <c r="AO34" i="2"/>
  <c r="AO35" i="2" s="1"/>
  <c r="AO21" i="2" l="1"/>
  <c r="AE18" i="2" s="1"/>
  <c r="AO31" i="2"/>
  <c r="AE28" i="2" s="1"/>
  <c r="AO36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<sst xmlns="http://schemas.openxmlformats.org/spreadsheetml/2006/main" count="133" uniqueCount="79">
  <si>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</si>
  <si>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</si>
  <si>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</si>
  <si>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</si>
  <si>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</si>
  <si>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</si>
  <si>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</si>
  <si>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</si>
  <si>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</si>
  <si>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</si>
  <si>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</si>
  <si>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</si>
  <si>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</si>
  <si>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</si>
  <si>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</si>
  <si>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</si>
  <si>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</si>
  <si>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</si>
  <si>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</si>
  <si>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</si>
  <si>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</si>
  <si>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</si>
  <si>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</si>
  <si>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</si>
  <si>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</si>
  <si>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</si>
  <si>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</si>
  <si>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</si>
  <si>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</si>
  <si>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</si>
  <si>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</si>
  <si>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</si>
  <si>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</si>
  <si>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</si>
  <si>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</si>
  <si>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</si>
  <si>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</si>
  <si>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</si>
  <si>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</si>
  <si>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</si>
  <si>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</si>
  <si>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</si>
  <si>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</si>
  <si>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</si>
  <si>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</si>
  <si>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</si>
  <si>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</si>
  <si>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</si>
  <si>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</si>
  <si>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</si>
  <si>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</si>
  <si>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</si>
  <si>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</si>
  <si>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</si>
  <si>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</si>
  <si>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</si>
  <si>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</si>
  <si>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</si>
  <si>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</si>
  <si>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</si>
  <si>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</si>
  <si>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</si>
  <si>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</si>
  <si>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</si>
  <si>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</si>
  <si>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</si>
  <si>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</si>
  <si>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</si>
  <si>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</si>
  <si>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</si>
  <si>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</si>
  <si>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COMPLEMENTARIO</t>
  </si>
  <si>
    <t>APLICAR HERRAMIENTAS OFIMÁTICAS, REDES SOCIALES Y COLABORATIVAS DE ACUERDO
CON EL PROYECTO A DESARROLLAR</t>
  </si>
  <si>
    <t>CONSTRUIR BASES DE DATOS UTILIZANDO UN SISTEMA DE GESTIÓN DE BASES DE DATOS RELACIONAL PARA
USO PERSONAL EN PEQUEÑAS ORGANIZACIONES.</t>
  </si>
  <si>
    <t>Identificar el entorno de trabajo de Microsoft  Access  y Excel para  utilizar las herramientas que brinda para crear tablas, formularios y consultas.</t>
  </si>
  <si>
    <t>TODOS</t>
  </si>
  <si>
    <t>NOVIEMBRE</t>
  </si>
  <si>
    <t>CREACION DE BITACORAS EN EL LMS Y SEGUIMIENTOS</t>
  </si>
  <si>
    <t>SEGUIMIENTO ETAPA PRACTICA - APRENDIZ SEBASTIAN ECHEVERRY  FICHAS No.1183423 Y KAREN ELIANA MUÑOZ FICHAS No. 1141507 CREACION BITACORAS FICHAS No.1183429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</si>
</sst>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8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8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6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8" xfId="0" applyFont="1" applyBorder="1" applyAlignment="1">
      <alignment horizontal="right" vertical="center"/>
    </xf>
    <xf numFmtId="0" fontId="15" fillId="6" borderId="104" xfId="0" applyFont="1" applyFill="1" applyBorder="1" applyAlignment="1">
      <alignment horizontal="right" vertical="center"/>
    </xf>
    <xf numFmtId="0" fontId="11" fillId="0" borderId="77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8" fillId="6" borderId="105" xfId="0" applyFont="1" applyFill="1" applyBorder="1" applyAlignment="1">
      <alignment horizontal="center" vertical="center"/>
    </xf>
    <xf numFmtId="0" fontId="2" fillId="10" borderId="104" xfId="0" applyFont="1" applyFill="1" applyBorder="1" applyAlignment="1">
      <alignment horizontal="center"/>
    </xf>
    <xf numFmtId="0" fontId="2" fillId="10" borderId="106" xfId="0" applyFont="1" applyFill="1" applyBorder="1" applyAlignment="1">
      <alignment horizontal="center"/>
    </xf>
    <xf numFmtId="0" fontId="2" fillId="10" borderId="105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5" borderId="87" xfId="0" applyNumberFormat="1" applyFont="1" applyFill="1" applyBorder="1" applyAlignment="1">
      <alignment horizontal="center" vertical="center" wrapText="1"/>
    </xf>
    <xf numFmtId="2" fontId="2" fillId="15" borderId="64" xfId="0" applyNumberFormat="1" applyFont="1" applyFill="1" applyBorder="1" applyAlignment="1">
      <alignment horizontal="center" vertical="center" wrapText="1"/>
    </xf>
    <xf numFmtId="2" fontId="2" fillId="15" borderId="65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5" borderId="67" xfId="0" applyNumberFormat="1" applyFont="1" applyFill="1" applyBorder="1" applyAlignment="1">
      <alignment horizontal="center"/>
    </xf>
    <xf numFmtId="2" fontId="1" fillId="15" borderId="44" xfId="0" applyNumberFormat="1" applyFont="1" applyFill="1" applyBorder="1" applyAlignment="1">
      <alignment horizontal="center"/>
    </xf>
    <xf numFmtId="2" fontId="1" fillId="15" borderId="62" xfId="0" applyNumberFormat="1" applyFont="1" applyFill="1" applyBorder="1" applyAlignment="1">
      <alignment horizontal="center"/>
    </xf>
    <xf numFmtId="2" fontId="1" fillId="15" borderId="58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9" borderId="75" xfId="0" applyFont="1" applyFill="1" applyBorder="1" applyAlignment="1">
      <alignment horizontal="center" vertical="center" wrapText="1"/>
    </xf>
    <xf numFmtId="0" fontId="1" fillId="0" borderId="107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vertical="top" wrapText="1"/>
    </xf>
    <xf numFmtId="2" fontId="2" fillId="0" borderId="87" xfId="0" applyNumberFormat="1" applyFont="1" applyFill="1" applyBorder="1" applyAlignment="1">
      <alignment horizontal="center" vertical="center" wrapText="1"/>
    </xf>
    <xf numFmtId="2" fontId="2" fillId="0" borderId="64" xfId="0" applyNumberFormat="1" applyFont="1" applyFill="1" applyBorder="1" applyAlignment="1">
      <alignment horizontal="center" vertical="center" wrapText="1"/>
    </xf>
    <xf numFmtId="2" fontId="2" fillId="0" borderId="65" xfId="0" applyNumberFormat="1" applyFont="1" applyFill="1" applyBorder="1" applyAlignment="1">
      <alignment horizontal="center" vertical="center" wrapText="1"/>
    </xf>
    <xf numFmtId="0" fontId="1" fillId="0" borderId="77" xfId="0" applyFont="1" applyFill="1" applyBorder="1" applyAlignment="1">
      <alignment horizontal="center" vertical="center" wrapText="1"/>
    </xf>
    <xf numFmtId="0" fontId="1" fillId="0" borderId="90" xfId="0" applyFont="1" applyFill="1" applyBorder="1"/>
    <xf numFmtId="0" fontId="1" fillId="0" borderId="75" xfId="0" applyFont="1" applyFill="1" applyBorder="1" applyAlignment="1">
      <alignment vertical="top" wrapText="1"/>
    </xf>
    <xf numFmtId="2" fontId="2" fillId="0" borderId="44" xfId="0" applyNumberFormat="1" applyFont="1" applyFill="1" applyBorder="1" applyAlignment="1">
      <alignment horizontal="center"/>
    </xf>
    <xf numFmtId="2" fontId="2" fillId="0" borderId="62" xfId="0" applyNumberFormat="1" applyFont="1" applyFill="1" applyBorder="1" applyAlignment="1">
      <alignment horizontal="center"/>
    </xf>
    <xf numFmtId="2" fontId="2" fillId="0" borderId="67" xfId="0" applyNumberFormat="1" applyFont="1" applyFill="1" applyBorder="1" applyAlignment="1">
      <alignment horizontal="center"/>
    </xf>
    <xf numFmtId="0" fontId="1" fillId="0" borderId="75" xfId="0" applyFont="1" applyFill="1" applyBorder="1" applyAlignment="1">
      <alignment horizontal="center" vertical="center" wrapText="1"/>
    </xf>
    <xf numFmtId="0" fontId="1" fillId="0" borderId="91" xfId="0" applyFont="1" applyFill="1" applyBorder="1"/>
    <xf numFmtId="0" fontId="1" fillId="0" borderId="76" xfId="0" applyFont="1" applyFill="1" applyBorder="1" applyAlignment="1">
      <alignment vertical="top" wrapText="1"/>
    </xf>
    <xf numFmtId="2" fontId="1" fillId="0" borderId="62" xfId="0" applyNumberFormat="1" applyFont="1" applyFill="1" applyBorder="1" applyAlignment="1">
      <alignment horizontal="center"/>
    </xf>
    <xf numFmtId="0" fontId="1" fillId="0" borderId="108" xfId="0" applyFont="1" applyFill="1" applyBorder="1" applyAlignment="1">
      <alignment horizontal="center" vertical="center" wrapText="1"/>
    </xf>
    <xf numFmtId="0" fontId="1" fillId="0" borderId="76" xfId="0" applyFont="1" applyFill="1" applyBorder="1" applyAlignment="1">
      <alignment horizontal="center" vertical="center" wrapText="1"/>
    </xf>
    <xf numFmtId="0" fontId="1" fillId="0" borderId="84" xfId="0" applyFont="1" applyFill="1" applyBorder="1"/>
    <xf numFmtId="0" fontId="19" fillId="0" borderId="53" xfId="0" applyFont="1" applyFill="1" applyBorder="1" applyAlignment="1">
      <alignment vertical="center"/>
    </xf>
    <xf numFmtId="0" fontId="19" fillId="0" borderId="92" xfId="2" applyFont="1" applyFill="1" applyBorder="1" applyAlignment="1">
      <alignment vertical="center"/>
    </xf>
    <xf numFmtId="0" fontId="19" fillId="0" borderId="54" xfId="0" applyFont="1" applyFill="1" applyBorder="1" applyAlignment="1">
      <alignment horizontal="left"/>
    </xf>
    <xf numFmtId="0" fontId="19" fillId="0" borderId="91" xfId="0" applyFont="1" applyFill="1" applyBorder="1" applyAlignment="1"/>
    <xf numFmtId="2" fontId="1" fillId="0" borderId="88" xfId="0" applyNumberFormat="1" applyFont="1" applyFill="1" applyBorder="1" applyAlignment="1">
      <alignment horizontal="center"/>
    </xf>
    <xf numFmtId="2" fontId="1" fillId="0" borderId="69" xfId="0" applyNumberFormat="1" applyFont="1" applyFill="1" applyBorder="1" applyAlignment="1">
      <alignment horizontal="center"/>
    </xf>
    <xf numFmtId="2" fontId="1" fillId="0" borderId="70" xfId="0" applyNumberFormat="1" applyFont="1" applyFill="1" applyBorder="1" applyAlignment="1">
      <alignment horizontal="center"/>
    </xf>
    <xf numFmtId="0" fontId="13" fillId="0" borderId="52" xfId="0" applyFont="1" applyFill="1" applyBorder="1" applyAlignment="1">
      <alignment horizontal="left"/>
    </xf>
    <xf numFmtId="0" fontId="13" fillId="0" borderId="59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101" xfId="0" applyNumberFormat="1" applyFont="1" applyFill="1" applyBorder="1" applyAlignment="1">
      <alignment vertical="center" wrapText="1"/>
    </xf>
    <xf numFmtId="2" fontId="1" fillId="0" borderId="109" xfId="0" applyNumberFormat="1" applyFont="1" applyFill="1" applyBorder="1" applyAlignment="1">
      <alignment horizontal="center"/>
    </xf>
    <xf numFmtId="2" fontId="2" fillId="0" borderId="102" xfId="0" applyNumberFormat="1" applyFont="1" applyFill="1" applyBorder="1" applyAlignment="1">
      <alignment vertical="center" wrapText="1"/>
    </xf>
    <xf numFmtId="2" fontId="2" fillId="0" borderId="103" xfId="0" applyNumberFormat="1" applyFont="1" applyFill="1" applyBorder="1" applyAlignment="1">
      <alignment vertical="center" wrapText="1"/>
    </xf>
    <xf numFmtId="0" fontId="1" fillId="0" borderId="110" xfId="0" applyFont="1" applyFill="1" applyBorder="1"/>
    <xf numFmtId="0" fontId="1" fillId="0" borderId="111" xfId="0" applyFont="1" applyFill="1" applyBorder="1" applyAlignment="1">
      <alignment horizontal="center" vertical="center" wrapText="1"/>
    </xf>
    <xf numFmtId="2" fontId="1" fillId="0" borderId="62" xfId="0" applyNumberFormat="1" applyFont="1" applyBorder="1" applyAlignment="1">
      <alignment horizontal="center"/>
    </xf>
    <xf numFmtId="0" fontId="1" fillId="11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6" borderId="95" xfId="0" applyFont="1" applyFill="1" applyBorder="1" applyAlignment="1">
      <alignment horizontal="center" vertical="center"/>
    </xf>
    <xf numFmtId="0" fontId="1" fillId="16" borderId="94" xfId="0" applyFont="1" applyFill="1" applyBorder="1" applyAlignment="1">
      <alignment horizontal="center" vertical="center"/>
    </xf>
    <xf numFmtId="0" fontId="1" fillId="16" borderId="52" xfId="0" applyFont="1" applyFill="1" applyBorder="1" applyAlignment="1">
      <alignment horizontal="center" vertical="center"/>
    </xf>
    <xf numFmtId="0" fontId="1" fillId="15" borderId="101" xfId="0" applyFont="1" applyFill="1" applyBorder="1" applyAlignment="1">
      <alignment horizontal="center" vertical="top" wrapText="1"/>
    </xf>
    <xf numFmtId="0" fontId="1" fillId="15" borderId="102" xfId="0" applyFont="1" applyFill="1" applyBorder="1" applyAlignment="1">
      <alignment horizontal="center" vertical="top" wrapText="1"/>
    </xf>
    <xf numFmtId="0" fontId="1" fillId="15" borderId="103" xfId="0" applyFont="1" applyFill="1" applyBorder="1" applyAlignment="1">
      <alignment horizontal="center" vertical="top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4" xfId="0" applyFont="1" applyFill="1" applyBorder="1"/>
    <xf numFmtId="0" fontId="1" fillId="0" borderId="48" xfId="0" applyFont="1" applyFill="1" applyBorder="1"/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2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6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28" xfId="0" applyFont="1" applyFill="1" applyBorder="1"/>
    <xf numFmtId="0" fontId="1" fillId="0" borderId="30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/>
    <xf numFmtId="0" fontId="1" fillId="0" borderId="31" xfId="0" applyFont="1" applyFill="1" applyBorder="1"/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2" fillId="0" borderId="25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20" fillId="0" borderId="15" xfId="0" applyFont="1" applyFill="1" applyBorder="1" applyAlignment="1">
      <alignment wrapText="1"/>
    </xf>
    <xf numFmtId="0" fontId="20" fillId="0" borderId="31" xfId="0" applyFont="1" applyFill="1" applyBorder="1" applyAlignment="1">
      <alignment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18" fillId="10" borderId="38" xfId="0" applyFont="1" applyFill="1" applyBorder="1" applyAlignment="1">
      <alignment horizontal="center" vertical="center"/>
    </xf>
    <xf numFmtId="0" fontId="18" fillId="10" borderId="72" xfId="0" applyFont="1" applyFill="1" applyBorder="1" applyAlignment="1">
      <alignment horizontal="center" vertical="center"/>
    </xf>
    <xf numFmtId="0" fontId="2" fillId="13" borderId="55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2" fillId="13" borderId="60" xfId="0" applyFont="1" applyFill="1" applyBorder="1" applyAlignment="1">
      <alignment horizontal="center" vertical="center" wrapText="1"/>
    </xf>
    <xf numFmtId="0" fontId="2" fillId="13" borderId="61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1" fillId="0" borderId="60" xfId="0" applyFont="1" applyFill="1" applyBorder="1" applyAlignment="1">
      <alignment horizontal="center" vertical="center" wrapText="1"/>
    </xf>
    <xf numFmtId="0" fontId="1" fillId="0" borderId="61" xfId="0" applyFont="1" applyFill="1" applyBorder="1" applyAlignment="1">
      <alignment horizontal="center" vertical="center" wrapText="1"/>
    </xf>
    <xf numFmtId="0" fontId="0" fillId="0" borderId="63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80" xfId="0" applyFont="1" applyFill="1" applyBorder="1"/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1" fillId="6" borderId="5" xfId="0" applyFont="1" applyFill="1" applyBorder="1" applyAlignment="1">
      <alignment horizontal="center"/>
    </xf>
    <xf numFmtId="0" fontId="1" fillId="0" borderId="64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9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70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0" borderId="73" xfId="0" applyFont="1" applyFill="1" applyBorder="1" applyAlignment="1">
      <alignment horizontal="center"/>
    </xf>
    <xf numFmtId="0" fontId="1" fillId="10" borderId="89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0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85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6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101" xfId="0" applyFont="1" applyFill="1" applyBorder="1" applyAlignment="1">
      <alignment horizontal="center" vertical="center" wrapText="1"/>
    </xf>
    <xf numFmtId="0" fontId="2" fillId="0" borderId="102" xfId="0" applyFont="1" applyFill="1" applyBorder="1" applyAlignment="1">
      <alignment horizontal="center" vertical="center" wrapText="1"/>
    </xf>
    <xf numFmtId="0" fontId="2" fillId="0" borderId="103" xfId="0" applyFont="1" applyFill="1" applyBorder="1" applyAlignment="1">
      <alignment horizontal="center" vertical="center" wrapText="1"/>
    </xf>
    <xf numFmtId="0" fontId="13" fillId="0" borderId="64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9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3" fillId="0" borderId="70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6" borderId="37" xfId="0" applyFont="1" applyFill="1" applyBorder="1"/>
    <xf numFmtId="0" fontId="1" fillId="6" borderId="60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topLeftCell="A14" zoomScale="70" zoomScaleNormal="70" workbookViewId="0">
      <selection activeCell="AT24" sqref="AT24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52" t="s">
        <v>0</v>
      </c>
      <c r="B2" s="226"/>
      <c r="C2" s="226"/>
      <c r="D2" s="216" t="s">
        <v>45</v>
      </c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4"/>
      <c r="Y2" s="229" t="s">
        <v>67</v>
      </c>
      <c r="Z2" s="230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53"/>
      <c r="B3" s="226"/>
      <c r="C3" s="226"/>
      <c r="D3" s="228" t="s">
        <v>55</v>
      </c>
      <c r="E3" s="228"/>
      <c r="F3" s="228"/>
      <c r="G3" s="228" t="s">
        <v>27</v>
      </c>
      <c r="H3" s="228"/>
      <c r="I3" s="228"/>
      <c r="J3" s="228"/>
      <c r="K3" s="228"/>
      <c r="L3" s="228"/>
      <c r="M3" s="228"/>
      <c r="N3" s="228" t="s">
        <v>28</v>
      </c>
      <c r="O3" s="228"/>
      <c r="P3" s="228"/>
      <c r="Q3" s="228"/>
      <c r="R3" s="228"/>
      <c r="S3" s="228"/>
      <c r="T3" s="228"/>
      <c r="U3" s="228"/>
      <c r="V3" s="228" t="s">
        <v>30</v>
      </c>
      <c r="W3" s="228"/>
      <c r="X3" s="4"/>
      <c r="Y3" s="88" t="s">
        <v>61</v>
      </c>
      <c r="Z3" s="94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53"/>
      <c r="B4" s="226"/>
      <c r="C4" s="226"/>
      <c r="D4" s="291" t="s">
        <v>76</v>
      </c>
      <c r="E4" s="292"/>
      <c r="F4" s="293"/>
      <c r="G4" s="268" t="s">
        <v>69</v>
      </c>
      <c r="H4" s="268"/>
      <c r="I4" s="268"/>
      <c r="J4" s="268"/>
      <c r="K4" s="268"/>
      <c r="L4" s="268"/>
      <c r="M4" s="268"/>
      <c r="N4" s="309" t="s">
        <v>70</v>
      </c>
      <c r="O4" s="310"/>
      <c r="P4" s="310"/>
      <c r="Q4" s="310"/>
      <c r="R4" s="310"/>
      <c r="S4" s="310"/>
      <c r="T4" s="310"/>
      <c r="U4" s="311"/>
      <c r="V4" s="220">
        <v>43047</v>
      </c>
      <c r="W4" s="221"/>
      <c r="X4" s="4"/>
      <c r="Y4" s="89" t="s">
        <v>60</v>
      </c>
      <c r="Z4" s="95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53"/>
      <c r="B5" s="227" t="s">
        <v>26</v>
      </c>
      <c r="C5" s="227"/>
      <c r="D5" s="294"/>
      <c r="E5" s="295"/>
      <c r="F5" s="296"/>
      <c r="G5" s="228" t="s">
        <v>1</v>
      </c>
      <c r="H5" s="228"/>
      <c r="I5" s="228"/>
      <c r="J5" s="228"/>
      <c r="K5" s="228"/>
      <c r="L5" s="228"/>
      <c r="M5" s="228"/>
      <c r="N5" s="312" t="s">
        <v>29</v>
      </c>
      <c r="O5" s="312"/>
      <c r="P5" s="312"/>
      <c r="Q5" s="312"/>
      <c r="R5" s="312"/>
      <c r="S5" s="312"/>
      <c r="T5" s="312"/>
      <c r="U5" s="312"/>
      <c r="V5" s="222"/>
      <c r="W5" s="223"/>
      <c r="X5" s="4"/>
      <c r="Y5" s="89" t="s">
        <v>62</v>
      </c>
      <c r="Z5" s="95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53"/>
      <c r="B6" s="227"/>
      <c r="C6" s="227"/>
      <c r="D6" s="294"/>
      <c r="E6" s="295"/>
      <c r="F6" s="296"/>
      <c r="G6" s="268">
        <v>76333019</v>
      </c>
      <c r="H6" s="268"/>
      <c r="I6" s="268"/>
      <c r="J6" s="268"/>
      <c r="K6" s="268"/>
      <c r="L6" s="268"/>
      <c r="M6" s="268"/>
      <c r="N6" s="268">
        <v>3052908671</v>
      </c>
      <c r="O6" s="268"/>
      <c r="P6" s="268"/>
      <c r="Q6" s="268"/>
      <c r="R6" s="268"/>
      <c r="S6" s="268"/>
      <c r="T6" s="268"/>
      <c r="U6" s="268"/>
      <c r="V6" s="224"/>
      <c r="W6" s="225"/>
      <c r="X6" s="4"/>
      <c r="Y6" s="92" t="s">
        <v>63</v>
      </c>
      <c r="Z6" s="96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53"/>
      <c r="B7" s="227"/>
      <c r="C7" s="227"/>
      <c r="D7" s="297"/>
      <c r="E7" s="298"/>
      <c r="F7" s="299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4"/>
      <c r="Y7" s="93" t="s">
        <v>64</v>
      </c>
      <c r="Z7" s="97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18"/>
      <c r="O8" s="219"/>
      <c r="P8" s="219"/>
      <c r="Q8" s="219"/>
      <c r="R8" s="219"/>
      <c r="S8" s="219"/>
      <c r="T8" s="219"/>
      <c r="U8" s="219"/>
      <c r="V8" s="219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75" t="s">
        <v>31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77"/>
      <c r="AA9" s="77"/>
      <c r="AB9" s="77"/>
      <c r="AC9" s="77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83" t="s">
        <v>2</v>
      </c>
      <c r="B10" s="254" t="s">
        <v>3</v>
      </c>
      <c r="C10" s="254" t="s">
        <v>44</v>
      </c>
      <c r="D10" s="254" t="s">
        <v>54</v>
      </c>
      <c r="E10" s="254" t="s">
        <v>7</v>
      </c>
      <c r="F10" s="254" t="s">
        <v>4</v>
      </c>
      <c r="G10" s="256" t="s">
        <v>6</v>
      </c>
      <c r="H10" s="257"/>
      <c r="I10" s="257"/>
      <c r="J10" s="257"/>
      <c r="K10" s="257"/>
      <c r="L10" s="257"/>
      <c r="M10" s="29"/>
      <c r="N10" s="254" t="s">
        <v>5</v>
      </c>
      <c r="O10" s="254" t="s">
        <v>32</v>
      </c>
      <c r="P10" s="254" t="s">
        <v>8</v>
      </c>
      <c r="Q10" s="254" t="s">
        <v>9</v>
      </c>
      <c r="R10" s="269" t="s">
        <v>10</v>
      </c>
      <c r="S10" s="257"/>
      <c r="T10" s="257"/>
      <c r="U10" s="257"/>
      <c r="V10" s="257"/>
      <c r="W10" s="257"/>
      <c r="X10" s="277" t="s">
        <v>51</v>
      </c>
      <c r="Y10" s="278"/>
      <c r="Z10" s="300" t="s">
        <v>56</v>
      </c>
      <c r="AA10" s="301"/>
      <c r="AB10" s="301"/>
      <c r="AC10" s="302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84"/>
      <c r="B11" s="255"/>
      <c r="C11" s="255"/>
      <c r="D11" s="255"/>
      <c r="E11" s="255"/>
      <c r="F11" s="255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72"/>
      <c r="O11" s="261"/>
      <c r="P11" s="255"/>
      <c r="Q11" s="255"/>
      <c r="R11" s="270"/>
      <c r="S11" s="271"/>
      <c r="T11" s="271"/>
      <c r="U11" s="271"/>
      <c r="V11" s="271"/>
      <c r="W11" s="271"/>
      <c r="X11" s="279"/>
      <c r="Y11" s="280"/>
      <c r="Z11" s="303"/>
      <c r="AA11" s="304"/>
      <c r="AB11" s="304"/>
      <c r="AC11" s="305"/>
      <c r="AD11" s="4"/>
      <c r="AE11" s="101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81"/>
      <c r="Y12" s="282"/>
      <c r="Z12" s="98" t="s">
        <v>52</v>
      </c>
      <c r="AA12" s="99" t="s">
        <v>57</v>
      </c>
      <c r="AB12" s="99" t="s">
        <v>53</v>
      </c>
      <c r="AC12" s="100" t="s">
        <v>58</v>
      </c>
      <c r="AD12" s="4"/>
      <c r="AE12" s="81" t="s">
        <v>59</v>
      </c>
      <c r="AF12" s="80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203">
        <v>1571008</v>
      </c>
      <c r="B13" s="206" t="s">
        <v>71</v>
      </c>
      <c r="C13" s="206" t="s">
        <v>74</v>
      </c>
      <c r="D13" s="206">
        <v>27</v>
      </c>
      <c r="E13" s="200" t="s">
        <v>72</v>
      </c>
      <c r="F13" s="172" t="s">
        <v>73</v>
      </c>
      <c r="G13" s="104"/>
      <c r="H13" s="105"/>
      <c r="I13" s="105"/>
      <c r="J13" s="105"/>
      <c r="K13" s="105"/>
      <c r="L13" s="105"/>
      <c r="M13" s="106"/>
      <c r="N13" s="210">
        <v>104</v>
      </c>
      <c r="O13" s="212">
        <v>16</v>
      </c>
      <c r="P13" s="212">
        <v>8</v>
      </c>
      <c r="Q13" s="273">
        <v>88</v>
      </c>
      <c r="R13" s="127"/>
      <c r="S13" s="127"/>
      <c r="T13" s="167">
        <f>+S13+1</f>
        <v>1</v>
      </c>
      <c r="U13" s="167">
        <f t="shared" ref="U13" si="0">+T13+1</f>
        <v>2</v>
      </c>
      <c r="V13" s="167">
        <f>+U13+1</f>
        <v>3</v>
      </c>
      <c r="W13" s="127">
        <f>+V13+1</f>
        <v>4</v>
      </c>
      <c r="X13" s="169" t="s">
        <v>75</v>
      </c>
      <c r="Y13" s="133"/>
      <c r="Z13" s="249"/>
      <c r="AA13" s="262"/>
      <c r="AB13" s="262"/>
      <c r="AC13" s="265"/>
      <c r="AD13" s="5"/>
      <c r="AE13" s="306">
        <v>16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1</v>
      </c>
      <c r="AJ13" s="40">
        <f>CountCcolor(V13,ColorRef)</f>
        <v>1</v>
      </c>
      <c r="AK13" s="41">
        <f>CountCcolor(R13,ColorRef)</f>
        <v>0</v>
      </c>
      <c r="AL13" s="42"/>
      <c r="AM13" s="43">
        <f>G16-G14</f>
        <v>8</v>
      </c>
      <c r="AN13" s="43">
        <f t="shared" ref="AN13" si="1">H16-H14</f>
        <v>8</v>
      </c>
      <c r="AO13" s="43">
        <f t="shared" ref="AO13" si="2">I16-I14</f>
        <v>8</v>
      </c>
      <c r="AP13" s="43">
        <f t="shared" ref="AP13" si="3">J16-J14</f>
        <v>8</v>
      </c>
      <c r="AQ13" s="43">
        <f t="shared" ref="AQ13" si="4">K16-K14</f>
        <v>8</v>
      </c>
      <c r="AR13" s="43">
        <f t="shared" ref="AR13" si="5">L16-L14</f>
        <v>0</v>
      </c>
    </row>
    <row r="14" spans="1:44" ht="20.100000000000001" customHeight="1" thickBot="1" x14ac:dyDescent="0.25">
      <c r="A14" s="204"/>
      <c r="B14" s="207"/>
      <c r="C14" s="214"/>
      <c r="D14" s="207"/>
      <c r="E14" s="259"/>
      <c r="F14" s="173"/>
      <c r="G14" s="107">
        <v>13</v>
      </c>
      <c r="H14" s="107">
        <v>13</v>
      </c>
      <c r="I14" s="107">
        <v>13</v>
      </c>
      <c r="J14" s="107">
        <v>13</v>
      </c>
      <c r="K14" s="107">
        <v>13</v>
      </c>
      <c r="L14" s="107"/>
      <c r="M14" s="108"/>
      <c r="N14" s="211"/>
      <c r="O14" s="213"/>
      <c r="P14" s="213"/>
      <c r="Q14" s="274"/>
      <c r="R14" s="127">
        <f>+W13+2</f>
        <v>6</v>
      </c>
      <c r="S14" s="167">
        <f>+R14+1</f>
        <v>7</v>
      </c>
      <c r="T14" s="167">
        <f>+S14+1</f>
        <v>8</v>
      </c>
      <c r="U14" s="167">
        <f>+T14+1</f>
        <v>9</v>
      </c>
      <c r="V14" s="167">
        <f t="shared" ref="V14:V16" si="6">+U14+1</f>
        <v>10</v>
      </c>
      <c r="W14" s="127">
        <f t="shared" ref="W14:W16" si="7">+V14+1</f>
        <v>11</v>
      </c>
      <c r="X14" s="170"/>
      <c r="Y14" s="139"/>
      <c r="Z14" s="250"/>
      <c r="AA14" s="263"/>
      <c r="AB14" s="263"/>
      <c r="AC14" s="266"/>
      <c r="AD14" s="5"/>
      <c r="AE14" s="307"/>
      <c r="AF14" s="168">
        <v>0</v>
      </c>
      <c r="AG14" s="168">
        <v>0</v>
      </c>
      <c r="AH14" s="168">
        <v>0</v>
      </c>
      <c r="AI14" s="168">
        <v>0</v>
      </c>
      <c r="AJ14" s="168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8">SUM(AG13:AG17)</f>
        <v>1</v>
      </c>
      <c r="AO14" s="43">
        <f t="shared" ref="AO14" si="9">SUM(AH13:AH17)</f>
        <v>1</v>
      </c>
      <c r="AP14" s="43">
        <f t="shared" ref="AP14" si="10">SUM(AI13:AI17)</f>
        <v>1</v>
      </c>
      <c r="AQ14" s="43">
        <f t="shared" ref="AQ14" si="11">SUM(AJ13:AJ17)</f>
        <v>2</v>
      </c>
      <c r="AR14" s="43">
        <f t="shared" ref="AR14" si="12">SUM(AK13:AK17)</f>
        <v>0</v>
      </c>
    </row>
    <row r="15" spans="1:44" ht="20.100000000000001" customHeight="1" thickBot="1" x14ac:dyDescent="0.25">
      <c r="A15" s="204"/>
      <c r="B15" s="207"/>
      <c r="C15" s="214"/>
      <c r="D15" s="207"/>
      <c r="E15" s="259"/>
      <c r="F15" s="173"/>
      <c r="G15" s="107" t="s">
        <v>47</v>
      </c>
      <c r="H15" s="107" t="s">
        <v>47</v>
      </c>
      <c r="I15" s="107" t="s">
        <v>47</v>
      </c>
      <c r="J15" s="107" t="s">
        <v>47</v>
      </c>
      <c r="K15" s="107" t="s">
        <v>47</v>
      </c>
      <c r="L15" s="107"/>
      <c r="M15" s="108"/>
      <c r="N15" s="211"/>
      <c r="O15" s="213"/>
      <c r="P15" s="213"/>
      <c r="Q15" s="274"/>
      <c r="R15" s="126">
        <f>+W14+2</f>
        <v>13</v>
      </c>
      <c r="S15" s="167">
        <f t="shared" ref="S15:S16" si="13">+R15+1</f>
        <v>14</v>
      </c>
      <c r="T15" s="167">
        <f t="shared" ref="T15:T16" si="14">+S15+1</f>
        <v>15</v>
      </c>
      <c r="U15" s="167">
        <f t="shared" ref="U15:U16" si="15">+T15+1</f>
        <v>16</v>
      </c>
      <c r="V15" s="167">
        <f t="shared" si="6"/>
        <v>17</v>
      </c>
      <c r="W15" s="123">
        <f t="shared" si="7"/>
        <v>18</v>
      </c>
      <c r="X15" s="170"/>
      <c r="Y15" s="139"/>
      <c r="Z15" s="250"/>
      <c r="AA15" s="263"/>
      <c r="AB15" s="263"/>
      <c r="AC15" s="266"/>
      <c r="AD15" s="5"/>
      <c r="AE15" s="307"/>
      <c r="AF15" s="168">
        <v>1</v>
      </c>
      <c r="AG15" s="168">
        <v>1</v>
      </c>
      <c r="AH15" s="168">
        <v>1</v>
      </c>
      <c r="AI15" s="168">
        <v>0</v>
      </c>
      <c r="AJ15" s="168">
        <v>1</v>
      </c>
      <c r="AK15" s="44">
        <f>CountCcolor(W15,ColorRef)</f>
        <v>0</v>
      </c>
      <c r="AL15" s="42"/>
      <c r="AM15" s="43">
        <f>AM14*AM13</f>
        <v>16</v>
      </c>
      <c r="AN15" s="43">
        <f t="shared" ref="AN15:AR15" si="16">AN14*AN13</f>
        <v>8</v>
      </c>
      <c r="AO15" s="43">
        <f t="shared" si="16"/>
        <v>8</v>
      </c>
      <c r="AP15" s="43">
        <f t="shared" si="16"/>
        <v>8</v>
      </c>
      <c r="AQ15" s="43">
        <f t="shared" si="16"/>
        <v>16</v>
      </c>
      <c r="AR15" s="43">
        <f t="shared" si="16"/>
        <v>0</v>
      </c>
    </row>
    <row r="16" spans="1:44" ht="20.100000000000001" customHeight="1" thickBot="1" x14ac:dyDescent="0.25">
      <c r="A16" s="204"/>
      <c r="B16" s="207"/>
      <c r="C16" s="214"/>
      <c r="D16" s="207"/>
      <c r="E16" s="259"/>
      <c r="F16" s="173"/>
      <c r="G16" s="107">
        <v>21</v>
      </c>
      <c r="H16" s="107">
        <v>21</v>
      </c>
      <c r="I16" s="107">
        <v>21</v>
      </c>
      <c r="J16" s="107">
        <v>21</v>
      </c>
      <c r="K16" s="107">
        <v>21</v>
      </c>
      <c r="L16" s="107"/>
      <c r="M16" s="108"/>
      <c r="N16" s="211"/>
      <c r="O16" s="213"/>
      <c r="P16" s="213"/>
      <c r="Q16" s="274"/>
      <c r="R16" s="127">
        <f>+W15+2</f>
        <v>20</v>
      </c>
      <c r="S16" s="127">
        <f t="shared" si="13"/>
        <v>21</v>
      </c>
      <c r="T16" s="165">
        <f t="shared" si="14"/>
        <v>22</v>
      </c>
      <c r="U16" s="127">
        <f t="shared" si="15"/>
        <v>23</v>
      </c>
      <c r="V16" s="127">
        <f t="shared" si="6"/>
        <v>24</v>
      </c>
      <c r="W16" s="123">
        <f t="shared" si="7"/>
        <v>25</v>
      </c>
      <c r="X16" s="170"/>
      <c r="Y16" s="139"/>
      <c r="Z16" s="250"/>
      <c r="AA16" s="263"/>
      <c r="AB16" s="263"/>
      <c r="AC16" s="266"/>
      <c r="AD16" s="5"/>
      <c r="AE16" s="307"/>
      <c r="AF16" s="168">
        <v>1</v>
      </c>
      <c r="AG16" s="168">
        <f t="shared" ref="AG16:AG17" si="17">CountCcolor(S16,ColorRef)</f>
        <v>0</v>
      </c>
      <c r="AH16" s="168">
        <f t="shared" ref="AH16:AH17" si="18">CountCcolor(T16,ColorRef)</f>
        <v>0</v>
      </c>
      <c r="AI16" s="168">
        <f t="shared" ref="AI16:AI17" si="19">CountCcolor(U16,ColorRef)</f>
        <v>0</v>
      </c>
      <c r="AJ16" s="168">
        <f t="shared" ref="AJ16:AJ17" si="20">CountCcolor(V16,ColorRef)</f>
        <v>0</v>
      </c>
      <c r="AK16" s="44">
        <f>CountCcolor(W16,ColorRef)</f>
        <v>0</v>
      </c>
      <c r="AL16" s="42"/>
      <c r="AM16" s="43"/>
      <c r="AN16" s="43"/>
      <c r="AO16" s="45">
        <f>SUM(AM15:AR15)</f>
        <v>56</v>
      </c>
      <c r="AP16" s="43"/>
      <c r="AQ16" s="43"/>
      <c r="AR16" s="43"/>
    </row>
    <row r="17" spans="1:44" ht="32.25" customHeight="1" thickBot="1" x14ac:dyDescent="0.25">
      <c r="A17" s="205"/>
      <c r="B17" s="208"/>
      <c r="C17" s="215"/>
      <c r="D17" s="208"/>
      <c r="E17" s="260"/>
      <c r="F17" s="174"/>
      <c r="G17" s="109"/>
      <c r="H17" s="110"/>
      <c r="I17" s="110"/>
      <c r="J17" s="110"/>
      <c r="K17" s="110"/>
      <c r="L17" s="109"/>
      <c r="M17" s="111"/>
      <c r="N17" s="211"/>
      <c r="O17" s="213"/>
      <c r="P17" s="213"/>
      <c r="Q17" s="274"/>
      <c r="R17" s="127">
        <f>+W16+2</f>
        <v>27</v>
      </c>
      <c r="S17" s="127">
        <f>+R17+1</f>
        <v>28</v>
      </c>
      <c r="T17" s="127">
        <f>+S17+1</f>
        <v>29</v>
      </c>
      <c r="U17" s="127">
        <f>+T17+1</f>
        <v>30</v>
      </c>
      <c r="V17" s="142"/>
      <c r="W17" s="143"/>
      <c r="X17" s="171"/>
      <c r="Y17" s="144"/>
      <c r="Z17" s="251"/>
      <c r="AA17" s="264"/>
      <c r="AB17" s="264"/>
      <c r="AC17" s="267"/>
      <c r="AD17" s="5"/>
      <c r="AE17" s="308"/>
      <c r="AF17" s="46">
        <v>0</v>
      </c>
      <c r="AG17" s="46">
        <f t="shared" si="17"/>
        <v>0</v>
      </c>
      <c r="AH17" s="46">
        <f t="shared" si="18"/>
        <v>0</v>
      </c>
      <c r="AI17" s="46">
        <f t="shared" si="19"/>
        <v>0</v>
      </c>
      <c r="AJ17" s="46">
        <f t="shared" si="20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197"/>
      <c r="B18" s="200"/>
      <c r="C18" s="200"/>
      <c r="D18" s="200"/>
      <c r="E18" s="175"/>
      <c r="F18" s="128"/>
      <c r="G18" s="129"/>
      <c r="H18" s="130"/>
      <c r="I18" s="130"/>
      <c r="J18" s="130"/>
      <c r="K18" s="130"/>
      <c r="L18" s="130"/>
      <c r="M18" s="131"/>
      <c r="N18" s="209"/>
      <c r="O18" s="209"/>
      <c r="P18" s="209"/>
      <c r="Q18" s="313"/>
      <c r="R18" s="125"/>
      <c r="S18" s="126"/>
      <c r="T18" s="126"/>
      <c r="U18" s="126"/>
      <c r="V18" s="126"/>
      <c r="W18" s="132"/>
      <c r="X18" s="145"/>
      <c r="Y18" s="146"/>
      <c r="Z18" s="249"/>
      <c r="AA18" s="316"/>
      <c r="AB18" s="316"/>
      <c r="AC18" s="319"/>
      <c r="AD18" s="5"/>
      <c r="AE18" s="306">
        <f>AO21</f>
        <v>0</v>
      </c>
      <c r="AF18" s="40">
        <f t="shared" ref="AF18:AF22" si="21">CountCcolor(R18,ColorRef)</f>
        <v>0</v>
      </c>
      <c r="AG18" s="40">
        <f t="shared" ref="AG18:AG22" si="22">CountCcolor(S18,ColorRef)</f>
        <v>0</v>
      </c>
      <c r="AH18" s="40">
        <f t="shared" ref="AH18:AH22" si="23">CountCcolor(T18,ColorRef)</f>
        <v>0</v>
      </c>
      <c r="AI18" s="40">
        <f t="shared" ref="AI18:AI22" si="24">CountCcolor(U18,ColorRef)</f>
        <v>0</v>
      </c>
      <c r="AJ18" s="40">
        <f t="shared" ref="AJ18:AJ22" si="25">CountCcolor(V18,ColorRef)</f>
        <v>0</v>
      </c>
      <c r="AK18" s="41">
        <f t="shared" ref="AK18:AK22" si="26">CountCcolor(W18,ColorRef)</f>
        <v>0</v>
      </c>
      <c r="AL18" s="42"/>
      <c r="AM18" s="43">
        <f>G21-G19</f>
        <v>0</v>
      </c>
      <c r="AN18" s="43">
        <f t="shared" ref="AN18" si="27">H21-H19</f>
        <v>0</v>
      </c>
      <c r="AO18" s="43">
        <f t="shared" ref="AO18" si="28">I21-I19</f>
        <v>0</v>
      </c>
      <c r="AP18" s="43">
        <f t="shared" ref="AP18" si="29">J21-J19</f>
        <v>0</v>
      </c>
      <c r="AQ18" s="43">
        <f t="shared" ref="AQ18" si="30">K21-K19</f>
        <v>0</v>
      </c>
      <c r="AR18" s="43">
        <f t="shared" ref="AR18" si="31">L21-L19</f>
        <v>0</v>
      </c>
    </row>
    <row r="19" spans="1:44" ht="20.100000000000001" customHeight="1" thickBot="1" x14ac:dyDescent="0.25">
      <c r="A19" s="198"/>
      <c r="B19" s="201"/>
      <c r="C19" s="201"/>
      <c r="D19" s="201"/>
      <c r="E19" s="176"/>
      <c r="F19" s="134"/>
      <c r="G19" s="135"/>
      <c r="H19" s="136"/>
      <c r="I19" s="136"/>
      <c r="J19" s="136"/>
      <c r="K19" s="136"/>
      <c r="L19" s="136"/>
      <c r="M19" s="137"/>
      <c r="N19" s="201"/>
      <c r="O19" s="201"/>
      <c r="P19" s="201"/>
      <c r="Q19" s="314"/>
      <c r="R19" s="122"/>
      <c r="S19" s="127"/>
      <c r="T19" s="127"/>
      <c r="U19" s="127"/>
      <c r="V19" s="127"/>
      <c r="W19" s="138"/>
      <c r="X19" s="147"/>
      <c r="Y19" s="148"/>
      <c r="Z19" s="250"/>
      <c r="AA19" s="317"/>
      <c r="AB19" s="317"/>
      <c r="AC19" s="320"/>
      <c r="AD19" s="5"/>
      <c r="AE19" s="307"/>
      <c r="AF19" s="78">
        <f t="shared" si="21"/>
        <v>0</v>
      </c>
      <c r="AG19" s="67">
        <f t="shared" si="22"/>
        <v>0</v>
      </c>
      <c r="AH19" s="67">
        <f t="shared" si="23"/>
        <v>0</v>
      </c>
      <c r="AI19" s="67">
        <f t="shared" si="24"/>
        <v>0</v>
      </c>
      <c r="AJ19" s="67">
        <f t="shared" si="25"/>
        <v>0</v>
      </c>
      <c r="AK19" s="44">
        <f t="shared" si="26"/>
        <v>0</v>
      </c>
      <c r="AL19" s="42"/>
      <c r="AM19" s="43">
        <f t="shared" ref="AM19" si="32">SUM(AF18:AF22)</f>
        <v>0</v>
      </c>
      <c r="AN19" s="43">
        <f t="shared" ref="AN19" si="33">SUM(AG18:AG22)</f>
        <v>0</v>
      </c>
      <c r="AO19" s="43">
        <f t="shared" ref="AO19" si="34">SUM(AH18:AH22)</f>
        <v>0</v>
      </c>
      <c r="AP19" s="43">
        <f t="shared" ref="AP19" si="35">SUM(AI18:AI22)</f>
        <v>0</v>
      </c>
      <c r="AQ19" s="43">
        <f t="shared" ref="AQ19" si="36">SUM(AJ18:AJ22)</f>
        <v>0</v>
      </c>
      <c r="AR19" s="43">
        <f t="shared" ref="AR19" si="37">SUM(AK18:AK22)</f>
        <v>0</v>
      </c>
    </row>
    <row r="20" spans="1:44" ht="20.100000000000001" customHeight="1" thickBot="1" x14ac:dyDescent="0.25">
      <c r="A20" s="198"/>
      <c r="B20" s="201"/>
      <c r="C20" s="201"/>
      <c r="D20" s="201"/>
      <c r="E20" s="176"/>
      <c r="F20" s="134"/>
      <c r="G20" s="135"/>
      <c r="H20" s="136"/>
      <c r="I20" s="136"/>
      <c r="J20" s="136"/>
      <c r="K20" s="136"/>
      <c r="L20" s="136"/>
      <c r="M20" s="137"/>
      <c r="N20" s="201"/>
      <c r="O20" s="201"/>
      <c r="P20" s="201"/>
      <c r="Q20" s="314"/>
      <c r="R20" s="122"/>
      <c r="S20" s="127"/>
      <c r="T20" s="127"/>
      <c r="U20" s="127"/>
      <c r="V20" s="127"/>
      <c r="W20" s="138"/>
      <c r="X20" s="147"/>
      <c r="Y20" s="148"/>
      <c r="Z20" s="250"/>
      <c r="AA20" s="317"/>
      <c r="AB20" s="317"/>
      <c r="AC20" s="320"/>
      <c r="AD20" s="5"/>
      <c r="AE20" s="307"/>
      <c r="AF20" s="78">
        <f t="shared" si="21"/>
        <v>0</v>
      </c>
      <c r="AG20" s="67">
        <f t="shared" si="22"/>
        <v>0</v>
      </c>
      <c r="AH20" s="67">
        <f t="shared" si="23"/>
        <v>0</v>
      </c>
      <c r="AI20" s="67">
        <f t="shared" si="24"/>
        <v>0</v>
      </c>
      <c r="AJ20" s="67">
        <f t="shared" si="25"/>
        <v>0</v>
      </c>
      <c r="AK20" s="44">
        <f t="shared" si="26"/>
        <v>0</v>
      </c>
      <c r="AL20" s="42"/>
      <c r="AM20" s="43">
        <f>AM19*AM18</f>
        <v>0</v>
      </c>
      <c r="AN20" s="43">
        <f t="shared" ref="AN20:AR20" si="38">AN19*AN18</f>
        <v>0</v>
      </c>
      <c r="AO20" s="43">
        <f t="shared" si="38"/>
        <v>0</v>
      </c>
      <c r="AP20" s="43">
        <f t="shared" si="38"/>
        <v>0</v>
      </c>
      <c r="AQ20" s="43">
        <f t="shared" si="38"/>
        <v>0</v>
      </c>
      <c r="AR20" s="43">
        <f t="shared" si="38"/>
        <v>0</v>
      </c>
    </row>
    <row r="21" spans="1:44" ht="20.100000000000001" customHeight="1" x14ac:dyDescent="0.2">
      <c r="A21" s="198"/>
      <c r="B21" s="201"/>
      <c r="C21" s="201"/>
      <c r="D21" s="201"/>
      <c r="E21" s="176"/>
      <c r="F21" s="134"/>
      <c r="G21" s="135"/>
      <c r="H21" s="136"/>
      <c r="I21" s="136"/>
      <c r="J21" s="136"/>
      <c r="K21" s="136"/>
      <c r="L21" s="136"/>
      <c r="M21" s="137"/>
      <c r="N21" s="201"/>
      <c r="O21" s="201"/>
      <c r="P21" s="201"/>
      <c r="Q21" s="314"/>
      <c r="R21" s="122"/>
      <c r="S21" s="127"/>
      <c r="T21" s="127"/>
      <c r="U21" s="127"/>
      <c r="V21" s="127"/>
      <c r="W21" s="138"/>
      <c r="X21" s="147"/>
      <c r="Y21" s="148"/>
      <c r="Z21" s="250"/>
      <c r="AA21" s="317"/>
      <c r="AB21" s="317"/>
      <c r="AC21" s="320"/>
      <c r="AD21" s="5"/>
      <c r="AE21" s="307"/>
      <c r="AF21" s="78">
        <f t="shared" si="21"/>
        <v>0</v>
      </c>
      <c r="AG21" s="67">
        <f t="shared" si="22"/>
        <v>0</v>
      </c>
      <c r="AH21" s="67">
        <f t="shared" si="23"/>
        <v>0</v>
      </c>
      <c r="AI21" s="67">
        <f t="shared" si="24"/>
        <v>0</v>
      </c>
      <c r="AJ21" s="67">
        <f t="shared" si="25"/>
        <v>0</v>
      </c>
      <c r="AK21" s="44">
        <f t="shared" si="26"/>
        <v>0</v>
      </c>
      <c r="AL21" s="42"/>
      <c r="AM21" s="43"/>
      <c r="AN21" s="43"/>
      <c r="AO21" s="45">
        <f>SUM(AM20:AR20)</f>
        <v>0</v>
      </c>
      <c r="AP21" s="43"/>
      <c r="AQ21" s="43"/>
      <c r="AR21" s="43"/>
    </row>
    <row r="22" spans="1:44" ht="23.25" customHeight="1" thickBot="1" x14ac:dyDescent="0.25">
      <c r="A22" s="199"/>
      <c r="B22" s="202"/>
      <c r="C22" s="202"/>
      <c r="D22" s="202"/>
      <c r="E22" s="177"/>
      <c r="F22" s="140"/>
      <c r="G22" s="149"/>
      <c r="H22" s="150"/>
      <c r="I22" s="150"/>
      <c r="J22" s="150"/>
      <c r="K22" s="150"/>
      <c r="L22" s="150"/>
      <c r="M22" s="151"/>
      <c r="N22" s="202"/>
      <c r="O22" s="202"/>
      <c r="P22" s="202"/>
      <c r="Q22" s="315"/>
      <c r="R22" s="124"/>
      <c r="S22" s="142"/>
      <c r="T22" s="142"/>
      <c r="U22" s="142"/>
      <c r="V22" s="142"/>
      <c r="W22" s="143"/>
      <c r="X22" s="152"/>
      <c r="Y22" s="153"/>
      <c r="Z22" s="251"/>
      <c r="AA22" s="318"/>
      <c r="AB22" s="318"/>
      <c r="AC22" s="321"/>
      <c r="AD22" s="5"/>
      <c r="AE22" s="308"/>
      <c r="AF22" s="46">
        <f t="shared" si="21"/>
        <v>0</v>
      </c>
      <c r="AG22" s="46">
        <f t="shared" si="22"/>
        <v>0</v>
      </c>
      <c r="AH22" s="46">
        <f t="shared" si="23"/>
        <v>0</v>
      </c>
      <c r="AI22" s="46">
        <f t="shared" si="24"/>
        <v>0</v>
      </c>
      <c r="AJ22" s="46">
        <f t="shared" si="25"/>
        <v>0</v>
      </c>
      <c r="AK22" s="47">
        <f t="shared" si="26"/>
        <v>0</v>
      </c>
      <c r="AL22" s="42"/>
      <c r="AM22" s="49"/>
      <c r="AN22" s="50"/>
      <c r="AO22" s="50"/>
      <c r="AP22" s="50"/>
      <c r="AQ22" s="50"/>
      <c r="AR22" s="51"/>
    </row>
    <row r="23" spans="1:44" ht="32.25" customHeight="1" thickBot="1" x14ac:dyDescent="0.25">
      <c r="A23" s="103"/>
      <c r="B23" s="102"/>
      <c r="C23" s="102"/>
      <c r="D23" s="102"/>
      <c r="E23" s="102"/>
      <c r="F23" s="102"/>
      <c r="G23" s="181" t="s">
        <v>49</v>
      </c>
      <c r="H23" s="182"/>
      <c r="I23" s="182"/>
      <c r="J23" s="182"/>
      <c r="K23" s="182"/>
      <c r="L23" s="182"/>
      <c r="M23" s="182"/>
      <c r="N23" s="182"/>
      <c r="O23" s="182"/>
      <c r="P23" s="52">
        <f>SUM(P13:P22)</f>
        <v>8</v>
      </c>
      <c r="Q23" s="52">
        <f>SUM(Q13:Q22)</f>
        <v>88</v>
      </c>
      <c r="R23" s="53"/>
      <c r="S23" s="53"/>
      <c r="T23" s="53"/>
      <c r="U23" s="53"/>
      <c r="V23" s="53"/>
      <c r="W23" s="54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8"/>
      <c r="AN23" s="48"/>
      <c r="AO23" s="48"/>
      <c r="AP23" s="48"/>
    </row>
    <row r="24" spans="1:44" s="60" customFormat="1" ht="27.75" customHeight="1" thickBot="1" x14ac:dyDescent="0.35">
      <c r="A24" s="69"/>
      <c r="B24" s="70"/>
      <c r="C24" s="70"/>
      <c r="D24" s="70"/>
      <c r="E24" s="70"/>
      <c r="F24" s="70"/>
      <c r="G24" s="55"/>
      <c r="H24" s="55"/>
      <c r="I24" s="55"/>
      <c r="J24" s="55"/>
      <c r="K24" s="55"/>
      <c r="L24" s="55"/>
      <c r="M24" s="55"/>
      <c r="N24" s="55"/>
      <c r="O24" s="55"/>
      <c r="P24" s="56"/>
      <c r="Q24" s="56"/>
      <c r="R24" s="71"/>
      <c r="S24" s="71"/>
      <c r="T24" s="71"/>
      <c r="U24" s="71"/>
      <c r="V24" s="71"/>
      <c r="W24" s="72"/>
      <c r="X24" s="57"/>
      <c r="AA24" s="86"/>
      <c r="AB24" s="57"/>
      <c r="AC24" s="57"/>
      <c r="AD24" s="58"/>
      <c r="AE24" s="59"/>
      <c r="AF24" s="58"/>
      <c r="AG24" s="58"/>
      <c r="AH24" s="58"/>
      <c r="AI24" s="58"/>
      <c r="AM24" s="61"/>
      <c r="AN24" s="61"/>
      <c r="AO24" s="61"/>
      <c r="AP24" s="61"/>
      <c r="AQ24" s="62"/>
      <c r="AR24" s="62"/>
    </row>
    <row r="25" spans="1:44" ht="37.5" customHeight="1" thickBot="1" x14ac:dyDescent="0.35">
      <c r="A25" s="183" t="s">
        <v>17</v>
      </c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5"/>
      <c r="AA25" s="87"/>
      <c r="AE25" s="16"/>
      <c r="AF25" s="5"/>
      <c r="AG25" s="5"/>
      <c r="AH25" s="5"/>
      <c r="AI25" s="5"/>
      <c r="AM25" s="48"/>
      <c r="AN25" s="48"/>
      <c r="AO25" s="48"/>
      <c r="AP25" s="48"/>
    </row>
    <row r="26" spans="1:44" ht="38.25" customHeight="1" x14ac:dyDescent="0.2">
      <c r="A26" s="285" t="s">
        <v>18</v>
      </c>
      <c r="B26" s="286"/>
      <c r="C26" s="287"/>
      <c r="D26" s="322" t="s">
        <v>19</v>
      </c>
      <c r="E26" s="323"/>
      <c r="F26" s="286" t="s">
        <v>20</v>
      </c>
      <c r="G26" s="322" t="s">
        <v>6</v>
      </c>
      <c r="H26" s="325"/>
      <c r="I26" s="325"/>
      <c r="J26" s="325"/>
      <c r="K26" s="325"/>
      <c r="L26" s="325"/>
      <c r="M26" s="79"/>
      <c r="N26" s="335" t="s">
        <v>41</v>
      </c>
      <c r="O26" s="254" t="s">
        <v>21</v>
      </c>
      <c r="P26" s="254" t="s">
        <v>22</v>
      </c>
      <c r="Q26" s="254" t="s">
        <v>23</v>
      </c>
      <c r="R26" s="256" t="s">
        <v>24</v>
      </c>
      <c r="S26" s="257"/>
      <c r="T26" s="257"/>
      <c r="U26" s="257"/>
      <c r="V26" s="257"/>
      <c r="W26" s="258"/>
      <c r="AA26" s="76"/>
      <c r="AB26" s="76"/>
      <c r="AC26" s="76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288"/>
      <c r="B27" s="289"/>
      <c r="C27" s="290"/>
      <c r="D27" s="288"/>
      <c r="E27" s="290"/>
      <c r="F27" s="326"/>
      <c r="G27" s="82" t="s">
        <v>11</v>
      </c>
      <c r="H27" s="73" t="s">
        <v>12</v>
      </c>
      <c r="I27" s="73" t="s">
        <v>12</v>
      </c>
      <c r="J27" s="73" t="s">
        <v>13</v>
      </c>
      <c r="K27" s="73" t="s">
        <v>14</v>
      </c>
      <c r="L27" s="74" t="s">
        <v>15</v>
      </c>
      <c r="M27" s="75" t="s">
        <v>16</v>
      </c>
      <c r="N27" s="336"/>
      <c r="O27" s="337"/>
      <c r="P27" s="324"/>
      <c r="Q27" s="324"/>
      <c r="R27" s="73" t="s">
        <v>11</v>
      </c>
      <c r="S27" s="36" t="s">
        <v>12</v>
      </c>
      <c r="T27" s="36" t="s">
        <v>12</v>
      </c>
      <c r="U27" s="73" t="s">
        <v>13</v>
      </c>
      <c r="V27" s="73" t="s">
        <v>14</v>
      </c>
      <c r="W27" s="75" t="s">
        <v>15</v>
      </c>
      <c r="X27" s="68"/>
      <c r="AA27" s="76"/>
      <c r="AB27" s="76"/>
      <c r="AC27" s="76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40" t="s">
        <v>77</v>
      </c>
      <c r="B28" s="241"/>
      <c r="C28" s="242"/>
      <c r="D28" s="240" t="s">
        <v>78</v>
      </c>
      <c r="E28" s="242"/>
      <c r="F28" s="240" t="s">
        <v>34</v>
      </c>
      <c r="G28" s="154"/>
      <c r="H28" s="155"/>
      <c r="I28" s="155"/>
      <c r="J28" s="155"/>
      <c r="K28" s="155"/>
      <c r="L28" s="159"/>
      <c r="M28" s="160"/>
      <c r="N28" s="327" t="s">
        <v>39</v>
      </c>
      <c r="O28" s="330">
        <v>43046</v>
      </c>
      <c r="P28" s="330">
        <v>43050</v>
      </c>
      <c r="Q28" s="209">
        <v>6</v>
      </c>
      <c r="R28" s="127"/>
      <c r="S28" s="127"/>
      <c r="T28" s="165">
        <f>+S28+1</f>
        <v>1</v>
      </c>
      <c r="U28" s="165">
        <f t="shared" ref="U28" si="39">+T28+1</f>
        <v>2</v>
      </c>
      <c r="V28" s="165">
        <f>+U28+1</f>
        <v>3</v>
      </c>
      <c r="W28" s="167">
        <f>+V28+1</f>
        <v>4</v>
      </c>
      <c r="X28" s="68"/>
      <c r="AA28" s="76"/>
      <c r="AB28" s="76"/>
      <c r="AC28" s="76"/>
      <c r="AE28" s="306" t="e">
        <f>AO31</f>
        <v>#REF!</v>
      </c>
      <c r="AF28" s="40">
        <f t="shared" ref="AF28:AF37" si="40">CountCcolor(R28,ColorRef)</f>
        <v>0</v>
      </c>
      <c r="AG28" s="40">
        <f t="shared" ref="AG28:AG37" si="41">CountCcolor(S28,ColorRef)</f>
        <v>0</v>
      </c>
      <c r="AH28" s="40">
        <f t="shared" ref="AH28:AH37" si="42">CountCcolor(T28,ColorRef)</f>
        <v>0</v>
      </c>
      <c r="AI28" s="40">
        <f t="shared" ref="AI28:AI37" si="43">CountCcolor(U28,ColorRef)</f>
        <v>0</v>
      </c>
      <c r="AJ28" s="40">
        <f t="shared" ref="AJ28:AJ37" si="44">CountCcolor(V28,ColorRef)</f>
        <v>0</v>
      </c>
      <c r="AK28" s="41">
        <f t="shared" ref="AK28:AK37" si="45">CountCcolor(W28,ColorRef)</f>
        <v>1</v>
      </c>
      <c r="AL28" s="42"/>
      <c r="AM28" s="43">
        <f>G31-G29</f>
        <v>0</v>
      </c>
      <c r="AN28" s="43">
        <f t="shared" ref="AN28" si="46">H31-H29</f>
        <v>2</v>
      </c>
      <c r="AO28" s="43">
        <f>L31-L29</f>
        <v>2</v>
      </c>
      <c r="AP28" s="43">
        <f t="shared" ref="AP28" si="47">J31-J29</f>
        <v>0</v>
      </c>
      <c r="AQ28" s="43">
        <f t="shared" ref="AQ28" si="48">K31-K29</f>
        <v>0</v>
      </c>
      <c r="AR28" s="43" t="e">
        <f>#REF!-#REF!</f>
        <v>#REF!</v>
      </c>
    </row>
    <row r="29" spans="1:44" ht="12" customHeight="1" thickBot="1" x14ac:dyDescent="0.25">
      <c r="A29" s="243"/>
      <c r="B29" s="244"/>
      <c r="C29" s="245"/>
      <c r="D29" s="243"/>
      <c r="E29" s="245"/>
      <c r="F29" s="243"/>
      <c r="G29" s="166"/>
      <c r="H29" s="166">
        <v>7</v>
      </c>
      <c r="I29" s="166">
        <v>7</v>
      </c>
      <c r="J29" s="141"/>
      <c r="K29" s="161"/>
      <c r="L29" s="166">
        <v>7</v>
      </c>
      <c r="M29" s="162"/>
      <c r="N29" s="328"/>
      <c r="O29" s="331"/>
      <c r="P29" s="331"/>
      <c r="Q29" s="333"/>
      <c r="R29" s="127">
        <f>+W28+2</f>
        <v>6</v>
      </c>
      <c r="S29" s="167">
        <f>+R29+1</f>
        <v>7</v>
      </c>
      <c r="T29" s="127">
        <f>+S29+1</f>
        <v>8</v>
      </c>
      <c r="U29" s="127">
        <f>+T29+1</f>
        <v>9</v>
      </c>
      <c r="V29" s="127">
        <f t="shared" ref="V29:V31" si="49">+U29+1</f>
        <v>10</v>
      </c>
      <c r="W29" s="127">
        <f t="shared" ref="W29:W31" si="50">+V29+1</f>
        <v>11</v>
      </c>
      <c r="X29" s="68"/>
      <c r="AA29" s="76"/>
      <c r="AB29" s="76"/>
      <c r="AC29" s="76"/>
      <c r="AE29" s="307"/>
      <c r="AF29" s="78">
        <f t="shared" si="40"/>
        <v>0</v>
      </c>
      <c r="AG29" s="78">
        <f t="shared" si="41"/>
        <v>1</v>
      </c>
      <c r="AH29" s="78">
        <f t="shared" si="42"/>
        <v>0</v>
      </c>
      <c r="AI29" s="78">
        <f t="shared" si="43"/>
        <v>0</v>
      </c>
      <c r="AJ29" s="78">
        <f t="shared" si="44"/>
        <v>0</v>
      </c>
      <c r="AK29" s="44">
        <f t="shared" si="45"/>
        <v>0</v>
      </c>
      <c r="AL29" s="42"/>
      <c r="AM29" s="43">
        <f>SUM(AF28:AF32)</f>
        <v>0</v>
      </c>
      <c r="AN29" s="43">
        <f t="shared" ref="AN29" si="51">SUM(AG28:AG32)</f>
        <v>1</v>
      </c>
      <c r="AO29" s="43">
        <f t="shared" ref="AO29" si="52">SUM(AH28:AH32)</f>
        <v>0</v>
      </c>
      <c r="AP29" s="43">
        <f t="shared" ref="AP29" si="53">SUM(AI28:AI32)</f>
        <v>0</v>
      </c>
      <c r="AQ29" s="43">
        <f t="shared" ref="AQ29" si="54">SUM(AJ28:AJ32)</f>
        <v>0</v>
      </c>
      <c r="AR29" s="43">
        <f t="shared" ref="AR29" si="55">SUM(AK28:AK32)</f>
        <v>1</v>
      </c>
    </row>
    <row r="30" spans="1:44" ht="12" customHeight="1" thickBot="1" x14ac:dyDescent="0.25">
      <c r="A30" s="243"/>
      <c r="B30" s="244"/>
      <c r="C30" s="245"/>
      <c r="D30" s="243"/>
      <c r="E30" s="245"/>
      <c r="F30" s="243"/>
      <c r="G30" s="166"/>
      <c r="H30" s="166" t="s">
        <v>47</v>
      </c>
      <c r="I30" s="166" t="s">
        <v>47</v>
      </c>
      <c r="J30" s="141"/>
      <c r="K30" s="161"/>
      <c r="L30" s="166" t="s">
        <v>47</v>
      </c>
      <c r="M30" s="162"/>
      <c r="N30" s="328"/>
      <c r="O30" s="331"/>
      <c r="P30" s="331"/>
      <c r="Q30" s="333"/>
      <c r="R30" s="126">
        <f>+W29+2</f>
        <v>13</v>
      </c>
      <c r="S30" s="127">
        <f t="shared" ref="S30:S31" si="56">+R30+1</f>
        <v>14</v>
      </c>
      <c r="T30" s="127">
        <f t="shared" ref="T30:T31" si="57">+S30+1</f>
        <v>15</v>
      </c>
      <c r="U30" s="127">
        <f t="shared" ref="U30:U31" si="58">+T30+1</f>
        <v>16</v>
      </c>
      <c r="V30" s="127">
        <f t="shared" si="49"/>
        <v>17</v>
      </c>
      <c r="W30" s="123">
        <f t="shared" si="50"/>
        <v>18</v>
      </c>
      <c r="X30" s="68"/>
      <c r="Y30" s="76"/>
      <c r="Z30" s="76"/>
      <c r="AA30" s="76"/>
      <c r="AB30" s="76"/>
      <c r="AC30" s="76"/>
      <c r="AE30" s="307"/>
      <c r="AF30" s="78">
        <f t="shared" si="40"/>
        <v>0</v>
      </c>
      <c r="AG30" s="78">
        <f t="shared" si="41"/>
        <v>0</v>
      </c>
      <c r="AH30" s="78">
        <f t="shared" si="42"/>
        <v>0</v>
      </c>
      <c r="AI30" s="78">
        <f t="shared" si="43"/>
        <v>0</v>
      </c>
      <c r="AJ30" s="78">
        <f t="shared" si="44"/>
        <v>0</v>
      </c>
      <c r="AK30" s="44">
        <f t="shared" si="45"/>
        <v>0</v>
      </c>
      <c r="AL30" s="42"/>
      <c r="AM30" s="43">
        <f>AM29*AM28</f>
        <v>0</v>
      </c>
      <c r="AN30" s="43">
        <f t="shared" ref="AN30:AR30" si="59">AN29*AN28</f>
        <v>2</v>
      </c>
      <c r="AO30" s="43">
        <f t="shared" si="59"/>
        <v>0</v>
      </c>
      <c r="AP30" s="43">
        <f t="shared" si="59"/>
        <v>0</v>
      </c>
      <c r="AQ30" s="43">
        <f t="shared" si="59"/>
        <v>0</v>
      </c>
      <c r="AR30" s="43" t="e">
        <f t="shared" si="59"/>
        <v>#REF!</v>
      </c>
    </row>
    <row r="31" spans="1:44" ht="12" customHeight="1" thickBot="1" x14ac:dyDescent="0.25">
      <c r="A31" s="243"/>
      <c r="B31" s="244"/>
      <c r="C31" s="245"/>
      <c r="D31" s="243"/>
      <c r="E31" s="245"/>
      <c r="F31" s="243"/>
      <c r="G31" s="166"/>
      <c r="H31" s="166">
        <v>9</v>
      </c>
      <c r="I31" s="166">
        <v>9</v>
      </c>
      <c r="J31" s="141"/>
      <c r="K31" s="141"/>
      <c r="L31" s="166">
        <v>9</v>
      </c>
      <c r="M31" s="162"/>
      <c r="N31" s="328"/>
      <c r="O31" s="331"/>
      <c r="P31" s="331"/>
      <c r="Q31" s="333"/>
      <c r="R31" s="127">
        <f>+W30+2</f>
        <v>20</v>
      </c>
      <c r="S31" s="127">
        <f t="shared" si="56"/>
        <v>21</v>
      </c>
      <c r="T31" s="165">
        <f t="shared" si="57"/>
        <v>22</v>
      </c>
      <c r="U31" s="127">
        <f t="shared" si="58"/>
        <v>23</v>
      </c>
      <c r="V31" s="127">
        <f t="shared" si="49"/>
        <v>24</v>
      </c>
      <c r="W31" s="123">
        <f t="shared" si="50"/>
        <v>25</v>
      </c>
      <c r="AE31" s="307"/>
      <c r="AF31" s="78">
        <f t="shared" si="40"/>
        <v>0</v>
      </c>
      <c r="AG31" s="78">
        <f t="shared" si="41"/>
        <v>0</v>
      </c>
      <c r="AH31" s="78">
        <f t="shared" si="42"/>
        <v>0</v>
      </c>
      <c r="AI31" s="78">
        <f t="shared" si="43"/>
        <v>0</v>
      </c>
      <c r="AJ31" s="78">
        <f t="shared" si="44"/>
        <v>0</v>
      </c>
      <c r="AK31" s="44">
        <f t="shared" si="45"/>
        <v>0</v>
      </c>
      <c r="AL31" s="42"/>
      <c r="AM31" s="43"/>
      <c r="AN31" s="43"/>
      <c r="AO31" s="45" t="e">
        <f>SUM(AM30:AR30)</f>
        <v>#REF!</v>
      </c>
      <c r="AP31" s="43"/>
      <c r="AQ31" s="43"/>
      <c r="AR31" s="43"/>
    </row>
    <row r="32" spans="1:44" ht="21.75" customHeight="1" thickBot="1" x14ac:dyDescent="0.25">
      <c r="A32" s="246"/>
      <c r="B32" s="247"/>
      <c r="C32" s="248"/>
      <c r="D32" s="246"/>
      <c r="E32" s="248"/>
      <c r="F32" s="246"/>
      <c r="G32" s="156"/>
      <c r="H32" s="157"/>
      <c r="I32" s="157"/>
      <c r="J32" s="157"/>
      <c r="K32" s="157"/>
      <c r="L32" s="158"/>
      <c r="M32" s="163"/>
      <c r="N32" s="329"/>
      <c r="O32" s="332"/>
      <c r="P32" s="332"/>
      <c r="Q32" s="334"/>
      <c r="R32" s="127">
        <f>+W31+2</f>
        <v>27</v>
      </c>
      <c r="S32" s="127">
        <f>+R32+1</f>
        <v>28</v>
      </c>
      <c r="T32" s="127">
        <f>+S32+1</f>
        <v>29</v>
      </c>
      <c r="U32" s="127">
        <f>+T32+1</f>
        <v>30</v>
      </c>
      <c r="V32" s="142"/>
      <c r="W32" s="143"/>
      <c r="AE32" s="308"/>
      <c r="AF32" s="46">
        <f t="shared" si="40"/>
        <v>0</v>
      </c>
      <c r="AG32" s="46">
        <f t="shared" si="41"/>
        <v>0</v>
      </c>
      <c r="AH32" s="46">
        <f t="shared" si="42"/>
        <v>0</v>
      </c>
      <c r="AI32" s="46">
        <f t="shared" si="43"/>
        <v>0</v>
      </c>
      <c r="AJ32" s="46">
        <f t="shared" si="44"/>
        <v>0</v>
      </c>
      <c r="AK32" s="47">
        <f t="shared" si="45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31"/>
      <c r="B33" s="232"/>
      <c r="C33" s="233"/>
      <c r="D33" s="231"/>
      <c r="E33" s="233"/>
      <c r="F33" s="231"/>
      <c r="G33" s="83"/>
      <c r="H33" s="18"/>
      <c r="I33" s="18"/>
      <c r="J33" s="18"/>
      <c r="K33" s="18"/>
      <c r="L33" s="117"/>
      <c r="M33" s="113"/>
      <c r="N33" s="194"/>
      <c r="O33" s="191"/>
      <c r="P33" s="191"/>
      <c r="Q33" s="188"/>
      <c r="R33" s="13"/>
      <c r="S33" s="9"/>
      <c r="T33" s="9"/>
      <c r="U33" s="9"/>
      <c r="V33" s="9"/>
      <c r="W33" s="10"/>
      <c r="X33" s="68"/>
      <c r="AA33" s="76"/>
      <c r="AB33" s="76"/>
      <c r="AC33" s="76"/>
      <c r="AE33" s="306">
        <f>AO36</f>
        <v>0</v>
      </c>
      <c r="AF33" s="40">
        <f t="shared" si="40"/>
        <v>0</v>
      </c>
      <c r="AG33" s="40">
        <f t="shared" si="41"/>
        <v>0</v>
      </c>
      <c r="AH33" s="40">
        <f t="shared" si="42"/>
        <v>0</v>
      </c>
      <c r="AI33" s="40">
        <f t="shared" si="43"/>
        <v>0</v>
      </c>
      <c r="AJ33" s="40">
        <f t="shared" si="44"/>
        <v>0</v>
      </c>
      <c r="AK33" s="41">
        <f t="shared" si="45"/>
        <v>0</v>
      </c>
      <c r="AL33" s="42"/>
      <c r="AM33" s="43">
        <f>G36-G34</f>
        <v>0</v>
      </c>
      <c r="AN33" s="43">
        <f t="shared" ref="AN33" si="60">H36-H34</f>
        <v>0</v>
      </c>
      <c r="AO33" s="43">
        <f t="shared" ref="AO33" si="61">I36-I34</f>
        <v>0</v>
      </c>
      <c r="AP33" s="43">
        <f t="shared" ref="AP33" si="62">J36-J34</f>
        <v>0</v>
      </c>
      <c r="AQ33" s="43">
        <f t="shared" ref="AQ33" si="63">K36-K34</f>
        <v>0</v>
      </c>
      <c r="AR33" s="43">
        <f t="shared" ref="AR33" si="64">L36-L34</f>
        <v>0</v>
      </c>
    </row>
    <row r="34" spans="1:44" ht="12" customHeight="1" thickBot="1" x14ac:dyDescent="0.25">
      <c r="A34" s="234"/>
      <c r="B34" s="235"/>
      <c r="C34" s="236"/>
      <c r="D34" s="234"/>
      <c r="E34" s="236"/>
      <c r="F34" s="234"/>
      <c r="G34" s="84"/>
      <c r="H34" s="17"/>
      <c r="I34" s="17"/>
      <c r="J34" s="17"/>
      <c r="K34" s="17"/>
      <c r="L34" s="116"/>
      <c r="M34" s="114"/>
      <c r="N34" s="195"/>
      <c r="O34" s="192"/>
      <c r="P34" s="192"/>
      <c r="Q34" s="189"/>
      <c r="R34" s="118"/>
      <c r="S34" s="119"/>
      <c r="T34" s="119"/>
      <c r="U34" s="7"/>
      <c r="V34" s="7"/>
      <c r="W34" s="8"/>
      <c r="X34" s="68"/>
      <c r="AA34" s="76"/>
      <c r="AB34" s="76"/>
      <c r="AC34" s="76"/>
      <c r="AE34" s="307"/>
      <c r="AF34" s="78">
        <f t="shared" si="40"/>
        <v>0</v>
      </c>
      <c r="AG34" s="78">
        <f t="shared" si="41"/>
        <v>0</v>
      </c>
      <c r="AH34" s="78">
        <f t="shared" si="42"/>
        <v>0</v>
      </c>
      <c r="AI34" s="78">
        <f t="shared" si="43"/>
        <v>0</v>
      </c>
      <c r="AJ34" s="78">
        <f t="shared" si="44"/>
        <v>0</v>
      </c>
      <c r="AK34" s="44">
        <f t="shared" si="45"/>
        <v>0</v>
      </c>
      <c r="AL34" s="42"/>
      <c r="AM34" s="43">
        <f>SUM(AF33:AF37)</f>
        <v>0</v>
      </c>
      <c r="AN34" s="43">
        <f t="shared" ref="AN34" si="65">SUM(AG33:AG37)</f>
        <v>0</v>
      </c>
      <c r="AO34" s="43">
        <f t="shared" ref="AO34" si="66">SUM(AH33:AH37)</f>
        <v>0</v>
      </c>
      <c r="AP34" s="43">
        <f t="shared" ref="AP34" si="67">SUM(AI33:AI37)</f>
        <v>0</v>
      </c>
      <c r="AQ34" s="43">
        <f t="shared" ref="AQ34" si="68">SUM(AJ33:AJ37)</f>
        <v>0</v>
      </c>
      <c r="AR34" s="43">
        <f t="shared" ref="AR34" si="69">SUM(AK33:AK37)</f>
        <v>0</v>
      </c>
    </row>
    <row r="35" spans="1:44" ht="12" customHeight="1" thickBot="1" x14ac:dyDescent="0.25">
      <c r="A35" s="234"/>
      <c r="B35" s="235"/>
      <c r="C35" s="236"/>
      <c r="D35" s="234"/>
      <c r="E35" s="236"/>
      <c r="F35" s="234"/>
      <c r="G35" s="84"/>
      <c r="H35" s="17"/>
      <c r="I35" s="17"/>
      <c r="J35" s="17"/>
      <c r="K35" s="17"/>
      <c r="L35" s="116"/>
      <c r="M35" s="114"/>
      <c r="N35" s="195"/>
      <c r="O35" s="192"/>
      <c r="P35" s="192"/>
      <c r="Q35" s="189"/>
      <c r="R35" s="118"/>
      <c r="S35" s="119"/>
      <c r="T35" s="119"/>
      <c r="U35" s="7"/>
      <c r="V35" s="7"/>
      <c r="W35" s="8"/>
      <c r="X35" s="68"/>
      <c r="Y35" s="76"/>
      <c r="Z35" s="76"/>
      <c r="AA35" s="76"/>
      <c r="AB35" s="76"/>
      <c r="AC35" s="76"/>
      <c r="AE35" s="307"/>
      <c r="AF35" s="78">
        <f t="shared" si="40"/>
        <v>0</v>
      </c>
      <c r="AG35" s="78">
        <f t="shared" si="41"/>
        <v>0</v>
      </c>
      <c r="AH35" s="78">
        <f t="shared" si="42"/>
        <v>0</v>
      </c>
      <c r="AI35" s="78">
        <f t="shared" si="43"/>
        <v>0</v>
      </c>
      <c r="AJ35" s="78">
        <f t="shared" si="44"/>
        <v>0</v>
      </c>
      <c r="AK35" s="44">
        <f t="shared" si="45"/>
        <v>0</v>
      </c>
      <c r="AL35" s="42"/>
      <c r="AM35" s="43">
        <f>AM34*AM33</f>
        <v>0</v>
      </c>
      <c r="AN35" s="43">
        <f t="shared" ref="AN35:AR35" si="70">AN34*AN33</f>
        <v>0</v>
      </c>
      <c r="AO35" s="43">
        <f t="shared" si="70"/>
        <v>0</v>
      </c>
      <c r="AP35" s="43">
        <f t="shared" si="70"/>
        <v>0</v>
      </c>
      <c r="AQ35" s="43">
        <f t="shared" si="70"/>
        <v>0</v>
      </c>
      <c r="AR35" s="43">
        <f t="shared" si="70"/>
        <v>0</v>
      </c>
    </row>
    <row r="36" spans="1:44" ht="12" customHeight="1" thickBot="1" x14ac:dyDescent="0.25">
      <c r="A36" s="234"/>
      <c r="B36" s="235"/>
      <c r="C36" s="236"/>
      <c r="D36" s="234"/>
      <c r="E36" s="236"/>
      <c r="F36" s="234"/>
      <c r="G36" s="84"/>
      <c r="H36" s="17"/>
      <c r="I36" s="17"/>
      <c r="J36" s="17"/>
      <c r="K36" s="17"/>
      <c r="L36" s="116"/>
      <c r="M36" s="114"/>
      <c r="N36" s="195"/>
      <c r="O36" s="192"/>
      <c r="P36" s="192"/>
      <c r="Q36" s="189"/>
      <c r="R36" s="118"/>
      <c r="S36" s="119"/>
      <c r="T36" s="119"/>
      <c r="U36" s="1"/>
      <c r="V36" s="1"/>
      <c r="W36" s="8"/>
      <c r="AE36" s="307"/>
      <c r="AF36" s="78">
        <f t="shared" si="40"/>
        <v>0</v>
      </c>
      <c r="AG36" s="78">
        <f t="shared" si="41"/>
        <v>0</v>
      </c>
      <c r="AH36" s="78">
        <f t="shared" si="42"/>
        <v>0</v>
      </c>
      <c r="AI36" s="78">
        <f t="shared" si="43"/>
        <v>0</v>
      </c>
      <c r="AJ36" s="78">
        <f t="shared" si="44"/>
        <v>0</v>
      </c>
      <c r="AK36" s="44">
        <f t="shared" si="45"/>
        <v>0</v>
      </c>
      <c r="AL36" s="42"/>
      <c r="AM36" s="43"/>
      <c r="AN36" s="43"/>
      <c r="AO36" s="45">
        <f>SUM(AM35:AR35)</f>
        <v>0</v>
      </c>
      <c r="AP36" s="43"/>
      <c r="AQ36" s="43"/>
      <c r="AR36" s="43"/>
    </row>
    <row r="37" spans="1:44" ht="13.5" thickBot="1" x14ac:dyDescent="0.25">
      <c r="A37" s="237"/>
      <c r="B37" s="238"/>
      <c r="C37" s="239"/>
      <c r="D37" s="237"/>
      <c r="E37" s="239"/>
      <c r="F37" s="237"/>
      <c r="G37" s="85"/>
      <c r="H37" s="19"/>
      <c r="I37" s="19"/>
      <c r="J37" s="19"/>
      <c r="K37" s="19"/>
      <c r="L37" s="112"/>
      <c r="M37" s="115"/>
      <c r="N37" s="196"/>
      <c r="O37" s="193"/>
      <c r="P37" s="193"/>
      <c r="Q37" s="190"/>
      <c r="R37" s="120"/>
      <c r="S37" s="121"/>
      <c r="T37" s="121"/>
      <c r="U37" s="2"/>
      <c r="V37" s="2"/>
      <c r="W37" s="11"/>
      <c r="AE37" s="308"/>
      <c r="AF37" s="46">
        <f t="shared" si="40"/>
        <v>0</v>
      </c>
      <c r="AG37" s="46">
        <f t="shared" si="41"/>
        <v>0</v>
      </c>
      <c r="AH37" s="46">
        <f t="shared" si="42"/>
        <v>0</v>
      </c>
      <c r="AI37" s="46">
        <f t="shared" si="43"/>
        <v>0</v>
      </c>
      <c r="AJ37" s="46">
        <f t="shared" si="44"/>
        <v>0</v>
      </c>
      <c r="AK37" s="47">
        <f t="shared" si="45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187"/>
      <c r="B38" s="187"/>
      <c r="C38" s="187"/>
      <c r="D38" s="187"/>
      <c r="E38" s="187"/>
      <c r="F38" s="187"/>
      <c r="G38" s="181" t="s">
        <v>33</v>
      </c>
      <c r="H38" s="182"/>
      <c r="I38" s="182"/>
      <c r="J38" s="182"/>
      <c r="K38" s="182"/>
      <c r="L38" s="182"/>
      <c r="M38" s="182"/>
      <c r="N38" s="182"/>
      <c r="O38" s="182"/>
      <c r="P38" s="186"/>
      <c r="Q38" s="52">
        <f>SUM(Q28:Q37)</f>
        <v>6</v>
      </c>
      <c r="R38" s="63"/>
      <c r="S38" s="63"/>
      <c r="T38" s="63"/>
      <c r="U38" s="63"/>
      <c r="V38" s="63"/>
      <c r="W38" s="64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8"/>
      <c r="AN38" s="48"/>
      <c r="AO38" s="48"/>
      <c r="AP38" s="48"/>
    </row>
    <row r="39" spans="1:44" ht="32.25" customHeight="1" thickBot="1" x14ac:dyDescent="0.25">
      <c r="A39" s="5"/>
      <c r="B39" s="5"/>
      <c r="C39" s="5"/>
      <c r="E39" s="5"/>
      <c r="F39" s="5"/>
      <c r="G39" s="178" t="s">
        <v>48</v>
      </c>
      <c r="H39" s="179"/>
      <c r="I39" s="179"/>
      <c r="J39" s="179"/>
      <c r="K39" s="179"/>
      <c r="L39" s="179"/>
      <c r="M39" s="179"/>
      <c r="N39" s="179"/>
      <c r="O39" s="179"/>
      <c r="P39" s="180"/>
      <c r="Q39" s="66">
        <f>Q38</f>
        <v>6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64"/>
    </row>
  </sheetData>
  <mergeCells count="94">
    <mergeCell ref="AE33:AE37"/>
    <mergeCell ref="AE28:AE32"/>
    <mergeCell ref="AB18:AB22"/>
    <mergeCell ref="AC18:AC22"/>
    <mergeCell ref="D26:E27"/>
    <mergeCell ref="AA18:AA22"/>
    <mergeCell ref="Q26:Q27"/>
    <mergeCell ref="G26:L26"/>
    <mergeCell ref="P26:P27"/>
    <mergeCell ref="F26:F27"/>
    <mergeCell ref="N28:N32"/>
    <mergeCell ref="O28:O32"/>
    <mergeCell ref="P28:P32"/>
    <mergeCell ref="Q28:Q32"/>
    <mergeCell ref="N26:N27"/>
    <mergeCell ref="O26:O27"/>
    <mergeCell ref="A26:C27"/>
    <mergeCell ref="D3:F3"/>
    <mergeCell ref="D4:F7"/>
    <mergeCell ref="Z10:AC11"/>
    <mergeCell ref="AE13:AE17"/>
    <mergeCell ref="AE18:AE22"/>
    <mergeCell ref="N3:U3"/>
    <mergeCell ref="N4:U4"/>
    <mergeCell ref="N5:U5"/>
    <mergeCell ref="N6:U6"/>
    <mergeCell ref="P18:P22"/>
    <mergeCell ref="Q18:Q22"/>
    <mergeCell ref="F10:F11"/>
    <mergeCell ref="D10:D11"/>
    <mergeCell ref="Z13:Z17"/>
    <mergeCell ref="AA13:AA17"/>
    <mergeCell ref="AB13:AB17"/>
    <mergeCell ref="AC13:AC17"/>
    <mergeCell ref="G4:M4"/>
    <mergeCell ref="G5:M5"/>
    <mergeCell ref="G6:M6"/>
    <mergeCell ref="R10:W11"/>
    <mergeCell ref="Q10:Q11"/>
    <mergeCell ref="P10:P11"/>
    <mergeCell ref="N10:N11"/>
    <mergeCell ref="Q13:Q17"/>
    <mergeCell ref="G10:L10"/>
    <mergeCell ref="P13:P17"/>
    <mergeCell ref="A9:Y9"/>
    <mergeCell ref="X10:Y11"/>
    <mergeCell ref="X12:Y12"/>
    <mergeCell ref="A10:A11"/>
    <mergeCell ref="Y2:Z2"/>
    <mergeCell ref="A33:C37"/>
    <mergeCell ref="D33:E37"/>
    <mergeCell ref="A28:C32"/>
    <mergeCell ref="D28:E32"/>
    <mergeCell ref="F28:F32"/>
    <mergeCell ref="F33:F37"/>
    <mergeCell ref="Z18:Z22"/>
    <mergeCell ref="A2:A7"/>
    <mergeCell ref="B10:B11"/>
    <mergeCell ref="C10:C11"/>
    <mergeCell ref="R26:W26"/>
    <mergeCell ref="E10:E11"/>
    <mergeCell ref="E13:E17"/>
    <mergeCell ref="D13:D17"/>
    <mergeCell ref="O10:O11"/>
    <mergeCell ref="D2:W2"/>
    <mergeCell ref="N8:V8"/>
    <mergeCell ref="V4:W6"/>
    <mergeCell ref="B2:C4"/>
    <mergeCell ref="B5:C7"/>
    <mergeCell ref="V3:W3"/>
    <mergeCell ref="G3:M3"/>
    <mergeCell ref="A13:A17"/>
    <mergeCell ref="B13:B17"/>
    <mergeCell ref="N18:N22"/>
    <mergeCell ref="O18:O22"/>
    <mergeCell ref="N13:N17"/>
    <mergeCell ref="O13:O17"/>
    <mergeCell ref="C13:C17"/>
    <mergeCell ref="X13:X17"/>
    <mergeCell ref="F13:F17"/>
    <mergeCell ref="E18:E22"/>
    <mergeCell ref="G39:P39"/>
    <mergeCell ref="G23:O23"/>
    <mergeCell ref="A25:W25"/>
    <mergeCell ref="G38:P38"/>
    <mergeCell ref="A38:F38"/>
    <mergeCell ref="Q33:Q37"/>
    <mergeCell ref="P33:P37"/>
    <mergeCell ref="N33:N37"/>
    <mergeCell ref="A18:A22"/>
    <mergeCell ref="B18:B22"/>
    <mergeCell ref="C18:C22"/>
    <mergeCell ref="D18:D22"/>
    <mergeCell ref="O33:O3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NOV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NOV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rlopez</cp:lastModifiedBy>
  <dcterms:created xsi:type="dcterms:W3CDTF">2017-01-11T00:53:31Z</dcterms:created>
  <dcterms:modified xsi:type="dcterms:W3CDTF">2017-11-08T13:55:39Z</dcterms:modified>
</cp:coreProperties>
</file>