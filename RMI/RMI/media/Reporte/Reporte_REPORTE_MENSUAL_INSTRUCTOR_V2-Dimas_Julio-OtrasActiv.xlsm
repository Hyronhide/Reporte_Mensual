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Dimas\"/>
    </mc:Choice>
  </mc:AlternateContent>
  <bookViews>
    <workbookView xWindow="0" yWindow="0" windowWidth="20490" windowHeight="7755"/>
  </bookViews>
  <sheets>
    <sheet name="RMI - Julio- 2017" sheetId="2" r:id="rId1"/>
    <sheet name="Hoja1" sheetId="3" state="hidden" r:id="rId2"/>
  </sheets>
  <definedNames>
    <definedName name="Actividad">Hoja1!$C$1:$C$2</definedName>
    <definedName name="ColorRef">'RMI - Julio- 2017'!$AE$11</definedName>
    <definedName name="Mes">'RMI - Julio- 2017'!$R$13:$W$17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48" i="2" l="1"/>
  <c r="V40" i="2"/>
  <c r="V41" i="2" s="1"/>
  <c r="U40" i="2"/>
  <c r="U41" i="2" s="1"/>
  <c r="R40" i="2"/>
  <c r="R41" i="2" s="1"/>
  <c r="R42" i="2" s="1"/>
  <c r="W39" i="2"/>
  <c r="W40" i="2" s="1"/>
  <c r="W41" i="2" s="1"/>
  <c r="V39" i="2"/>
  <c r="U39" i="2"/>
  <c r="T39" i="2"/>
  <c r="T40" i="2" s="1"/>
  <c r="T41" i="2" s="1"/>
  <c r="S39" i="2"/>
  <c r="S40" i="2" s="1"/>
  <c r="S41" i="2" s="1"/>
  <c r="R39" i="2"/>
  <c r="AR38" i="2"/>
  <c r="AQ38" i="2"/>
  <c r="AP38" i="2"/>
  <c r="AO38" i="2"/>
  <c r="AN38" i="2"/>
  <c r="AM38" i="2"/>
  <c r="U45" i="2"/>
  <c r="U46" i="2" s="1"/>
  <c r="T45" i="2"/>
  <c r="T46" i="2" s="1"/>
  <c r="W44" i="2"/>
  <c r="W45" i="2" s="1"/>
  <c r="W46" i="2" s="1"/>
  <c r="V44" i="2"/>
  <c r="V45" i="2" s="1"/>
  <c r="V46" i="2" s="1"/>
  <c r="U44" i="2"/>
  <c r="T44" i="2"/>
  <c r="R44" i="2"/>
  <c r="R45" i="2" s="1"/>
  <c r="R46" i="2" s="1"/>
  <c r="R47" i="2" s="1"/>
  <c r="W35" i="2"/>
  <c r="W36" i="2" s="1"/>
  <c r="V35" i="2"/>
  <c r="V36" i="2" s="1"/>
  <c r="R35" i="2"/>
  <c r="R36" i="2" s="1"/>
  <c r="R37" i="2" s="1"/>
  <c r="W34" i="2"/>
  <c r="V34" i="2"/>
  <c r="U34" i="2"/>
  <c r="U35" i="2" s="1"/>
  <c r="U36" i="2" s="1"/>
  <c r="T34" i="2"/>
  <c r="T35" i="2" s="1"/>
  <c r="T36" i="2" s="1"/>
  <c r="R34" i="2"/>
  <c r="S34" i="2" s="1"/>
  <c r="S35" i="2" s="1"/>
  <c r="S36" i="2" s="1"/>
  <c r="AK42" i="2"/>
  <c r="AG42" i="2"/>
  <c r="AK41" i="2"/>
  <c r="AG41" i="2"/>
  <c r="AI40" i="2"/>
  <c r="AK39" i="2"/>
  <c r="AG39" i="2"/>
  <c r="AI41" i="2"/>
  <c r="AK38" i="2"/>
  <c r="AJ42" i="2"/>
  <c r="AF42" i="2"/>
  <c r="AJ41" i="2"/>
  <c r="AF41" i="2"/>
  <c r="AH40" i="2"/>
  <c r="AJ39" i="2"/>
  <c r="AF39" i="2"/>
  <c r="AH38" i="2"/>
  <c r="AG40" i="2"/>
  <c r="AG38" i="2"/>
  <c r="AH42" i="2"/>
  <c r="AH41" i="2"/>
  <c r="AJ40" i="2"/>
  <c r="AF40" i="2"/>
  <c r="AH39" i="2"/>
  <c r="AJ38" i="2"/>
  <c r="AF38" i="2"/>
  <c r="AI38" i="2"/>
  <c r="AI42" i="2"/>
  <c r="AK40" i="2"/>
  <c r="AI39" i="2"/>
  <c r="AP39" i="2" l="1"/>
  <c r="AP40" i="2" s="1"/>
  <c r="AM39" i="2"/>
  <c r="AM40" i="2" s="1"/>
  <c r="AQ39" i="2"/>
  <c r="AQ40" i="2" s="1"/>
  <c r="AN39" i="2"/>
  <c r="AN40" i="2" s="1"/>
  <c r="AO39" i="2"/>
  <c r="AO40" i="2" s="1"/>
  <c r="AR39" i="2"/>
  <c r="AR40" i="2" s="1"/>
  <c r="S44" i="2"/>
  <c r="S45" i="2" s="1"/>
  <c r="S46" i="2" s="1"/>
  <c r="AO41" i="2" l="1"/>
  <c r="AE38" i="2" s="1"/>
  <c r="W24" i="2"/>
  <c r="W25" i="2" s="1"/>
  <c r="W26" i="2" s="1"/>
  <c r="V24" i="2"/>
  <c r="V25" i="2" s="1"/>
  <c r="V26" i="2" s="1"/>
  <c r="U24" i="2"/>
  <c r="U25" i="2" s="1"/>
  <c r="U26" i="2" s="1"/>
  <c r="T24" i="2"/>
  <c r="T25" i="2" s="1"/>
  <c r="T26" i="2" s="1"/>
  <c r="R24" i="2"/>
  <c r="S24" i="2" s="1"/>
  <c r="S25" i="2" s="1"/>
  <c r="S26" i="2" s="1"/>
  <c r="W20" i="2"/>
  <c r="W21" i="2" s="1"/>
  <c r="V20" i="2"/>
  <c r="V21" i="2" s="1"/>
  <c r="W19" i="2"/>
  <c r="V19" i="2"/>
  <c r="U19" i="2"/>
  <c r="U20" i="2" s="1"/>
  <c r="U21" i="2" s="1"/>
  <c r="T19" i="2"/>
  <c r="T20" i="2" s="1"/>
  <c r="T21" i="2" s="1"/>
  <c r="R19" i="2"/>
  <c r="S19" i="2" s="1"/>
  <c r="S20" i="2" s="1"/>
  <c r="S21" i="2" s="1"/>
  <c r="U15" i="2"/>
  <c r="U16" i="2" s="1"/>
  <c r="W14" i="2"/>
  <c r="W15" i="2" s="1"/>
  <c r="W16" i="2" s="1"/>
  <c r="V14" i="2"/>
  <c r="V15" i="2" s="1"/>
  <c r="V16" i="2" s="1"/>
  <c r="U14" i="2"/>
  <c r="T14" i="2"/>
  <c r="T15" i="2" s="1"/>
  <c r="T16" i="2" s="1"/>
  <c r="R14" i="2"/>
  <c r="R15" i="2" s="1"/>
  <c r="R16" i="2" s="1"/>
  <c r="R17" i="2" s="1"/>
  <c r="R20" i="2" l="1"/>
  <c r="R21" i="2" s="1"/>
  <c r="R22" i="2" s="1"/>
  <c r="R25" i="2"/>
  <c r="R26" i="2" s="1"/>
  <c r="R27" i="2" s="1"/>
  <c r="S14" i="2"/>
  <c r="S15" i="2" s="1"/>
  <c r="S16" i="2" s="1"/>
  <c r="Q23" i="2" l="1"/>
  <c r="Q18" i="2"/>
  <c r="Q13" i="2"/>
  <c r="AR43" i="2" l="1"/>
  <c r="AQ43" i="2"/>
  <c r="AP43" i="2"/>
  <c r="AO43" i="2"/>
  <c r="AN43" i="2"/>
  <c r="AM43" i="2"/>
  <c r="AR13" i="2"/>
  <c r="AQ13" i="2"/>
  <c r="AP13" i="2"/>
  <c r="AO13" i="2"/>
  <c r="AN13" i="2"/>
  <c r="AM13" i="2"/>
  <c r="AK45" i="2"/>
  <c r="AJ45" i="2"/>
  <c r="AK44" i="2"/>
  <c r="AH45" i="2"/>
  <c r="AF46" i="2"/>
  <c r="AG47" i="2"/>
  <c r="AG45" i="2"/>
  <c r="AI46" i="2"/>
  <c r="AI47" i="2"/>
  <c r="AF45" i="2"/>
  <c r="AK47" i="2"/>
  <c r="AK46" i="2"/>
  <c r="AH46" i="2"/>
  <c r="AH43" i="2"/>
  <c r="AJ43" i="2"/>
  <c r="AI44" i="2"/>
  <c r="AI45" i="2"/>
  <c r="AJ46" i="2"/>
  <c r="AF44" i="2"/>
  <c r="AF43" i="2"/>
  <c r="AG46" i="2"/>
  <c r="AJ47" i="2"/>
  <c r="AK43" i="2"/>
  <c r="AH44" i="2"/>
  <c r="AG43" i="2"/>
  <c r="AI43" i="2"/>
  <c r="AG44" i="2"/>
  <c r="AJ44" i="2"/>
  <c r="AH47" i="2"/>
  <c r="AF47" i="2"/>
  <c r="AH14" i="2"/>
  <c r="AF17" i="2"/>
  <c r="AI17" i="2"/>
  <c r="AG17" i="2"/>
  <c r="AI16" i="2"/>
  <c r="AI13" i="2"/>
  <c r="AG14" i="2"/>
  <c r="AK14" i="2"/>
  <c r="AF15" i="2"/>
  <c r="AK16" i="2"/>
  <c r="AI15" i="2"/>
  <c r="AF16" i="2"/>
  <c r="AJ16" i="2"/>
  <c r="AF14" i="2"/>
  <c r="AJ17" i="2"/>
  <c r="AI14" i="2"/>
  <c r="AH13" i="2"/>
  <c r="AK17" i="2"/>
  <c r="AH16" i="2"/>
  <c r="AH17" i="2"/>
  <c r="AG16" i="2"/>
  <c r="AJ13" i="2"/>
  <c r="AH15" i="2"/>
  <c r="AK13" i="2"/>
  <c r="AK15" i="2"/>
  <c r="AG15" i="2"/>
  <c r="AJ15" i="2"/>
  <c r="AG13" i="2"/>
  <c r="AF13" i="2"/>
  <c r="AJ14" i="2"/>
  <c r="AN44" i="2" l="1"/>
  <c r="AN45" i="2" s="1"/>
  <c r="AO44" i="2"/>
  <c r="AO45" i="2" s="1"/>
  <c r="AP44" i="2"/>
  <c r="AP45" i="2" s="1"/>
  <c r="AQ44" i="2"/>
  <c r="AQ45" i="2" s="1"/>
  <c r="AR44" i="2"/>
  <c r="AR45" i="2" s="1"/>
  <c r="AM44" i="2"/>
  <c r="AM4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46" i="2" l="1"/>
  <c r="AE43" i="2" s="1"/>
  <c r="AO16" i="2"/>
  <c r="AE13" i="2" s="1"/>
  <c r="Z6" i="2" l="1"/>
  <c r="Z5" i="2"/>
  <c r="Z7" i="2" l="1"/>
  <c r="P28" i="2" l="1"/>
  <c r="AO54" i="2"/>
  <c r="Q49" i="2" l="1"/>
  <c r="AR23" i="2" l="1"/>
  <c r="AQ23" i="2"/>
  <c r="AP23" i="2"/>
  <c r="AO23" i="2"/>
  <c r="AN23" i="2"/>
  <c r="AM23" i="2"/>
  <c r="AH24" i="2"/>
  <c r="AI24" i="2"/>
  <c r="AK24" i="2"/>
  <c r="AJ23" i="2"/>
  <c r="AF25" i="2"/>
  <c r="AH26" i="2"/>
  <c r="AI23" i="2"/>
  <c r="AG23" i="2"/>
  <c r="AJ24" i="2"/>
  <c r="AF24" i="2"/>
  <c r="AF26" i="2"/>
  <c r="AI27" i="2"/>
  <c r="AK27" i="2"/>
  <c r="AJ27" i="2"/>
  <c r="AJ26" i="2"/>
  <c r="AF27" i="2"/>
  <c r="AJ25" i="2"/>
  <c r="AH23" i="2"/>
  <c r="AK23" i="2"/>
  <c r="AI25" i="2"/>
  <c r="AI26" i="2"/>
  <c r="AH25" i="2"/>
  <c r="AG25" i="2"/>
  <c r="AG27" i="2"/>
  <c r="AG26" i="2"/>
  <c r="AH27" i="2"/>
  <c r="AF23" i="2"/>
  <c r="AG24" i="2"/>
  <c r="AK26" i="2"/>
  <c r="AK25" i="2"/>
  <c r="AM24" i="2" l="1"/>
  <c r="AM25" i="2" s="1"/>
  <c r="AQ24" i="2"/>
  <c r="AQ25" i="2" s="1"/>
  <c r="AN24" i="2"/>
  <c r="AN25" i="2" s="1"/>
  <c r="AR24" i="2"/>
  <c r="AR25" i="2" s="1"/>
  <c r="AO24" i="2"/>
  <c r="AO25" i="2" s="1"/>
  <c r="AP24" i="2"/>
  <c r="AP25" i="2" s="1"/>
  <c r="AO55" i="2"/>
  <c r="AO56" i="2"/>
  <c r="D15" i="3"/>
  <c r="AO61" i="2"/>
  <c r="AO26" i="2" l="1"/>
  <c r="AE23" i="2" s="1"/>
  <c r="AR33" i="2"/>
  <c r="AQ33" i="2"/>
  <c r="AP33" i="2"/>
  <c r="AO33" i="2"/>
  <c r="AN33" i="2"/>
  <c r="AM33" i="2"/>
  <c r="AM18" i="2"/>
  <c r="AR18" i="2"/>
  <c r="AQ18" i="2"/>
  <c r="AP18" i="2"/>
  <c r="AO18" i="2"/>
  <c r="AN18" i="2"/>
  <c r="AH34" i="2"/>
  <c r="AJ34" i="2"/>
  <c r="AG33" i="2"/>
  <c r="AJ35" i="2"/>
  <c r="AH36" i="2"/>
  <c r="AF36" i="2"/>
  <c r="AF35" i="2"/>
  <c r="AH33" i="2"/>
  <c r="AI33" i="2"/>
  <c r="AJ33" i="2"/>
  <c r="AJ37" i="2"/>
  <c r="AI35" i="2"/>
  <c r="AF37" i="2"/>
  <c r="AK37" i="2"/>
  <c r="AI34" i="2"/>
  <c r="AK34" i="2"/>
  <c r="AF34" i="2"/>
  <c r="AG36" i="2"/>
  <c r="AI37" i="2"/>
  <c r="AH35" i="2"/>
  <c r="AK33" i="2"/>
  <c r="AG35" i="2"/>
  <c r="AK35" i="2"/>
  <c r="AG37" i="2"/>
  <c r="AJ36" i="2"/>
  <c r="AF33" i="2"/>
  <c r="AK36" i="2"/>
  <c r="AG34" i="2"/>
  <c r="AI36" i="2"/>
  <c r="AH37" i="2"/>
  <c r="AO34" i="2" l="1"/>
  <c r="AO35" i="2" s="1"/>
  <c r="AP34" i="2"/>
  <c r="AP35" i="2" s="1"/>
  <c r="AQ34" i="2"/>
  <c r="AQ35" i="2" s="1"/>
  <c r="AR34" i="2"/>
  <c r="AR35" i="2" s="1"/>
  <c r="AM34" i="2"/>
  <c r="AM35" i="2" s="1"/>
  <c r="AN34" i="2"/>
  <c r="AN35" i="2" s="1"/>
  <c r="AO36" i="2" l="1"/>
  <c r="AE33" i="2" s="1"/>
  <c r="D14" i="3" l="1"/>
  <c r="D16" i="3" s="1"/>
  <c r="AO57" i="2" l="1"/>
  <c r="AJ19" i="2"/>
  <c r="AI18" i="2"/>
  <c r="AG20" i="2"/>
  <c r="AK18" i="2"/>
  <c r="AJ18" i="2"/>
  <c r="AF20" i="2"/>
  <c r="AH21" i="2"/>
  <c r="AJ22" i="2"/>
  <c r="AF21" i="2"/>
  <c r="AF19" i="2"/>
  <c r="AH19" i="2"/>
  <c r="AG19" i="2"/>
  <c r="AI20" i="2"/>
  <c r="AH18" i="2"/>
  <c r="AJ20" i="2"/>
  <c r="AG21" i="2"/>
  <c r="AH22" i="2"/>
  <c r="AF18" i="2"/>
  <c r="AI22" i="2"/>
  <c r="AK19" i="2"/>
  <c r="AK21" i="2"/>
  <c r="AH20" i="2"/>
  <c r="AF22" i="2"/>
  <c r="AK20" i="2"/>
  <c r="AG22" i="2"/>
  <c r="AJ21" i="2"/>
  <c r="AI21" i="2"/>
  <c r="AK22" i="2"/>
  <c r="AI19" i="2"/>
  <c r="AG18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28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<sst xmlns="http://schemas.openxmlformats.org/spreadsheetml/2006/main" count="193" uniqueCount="106">
  <si>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</si>
  <si>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</si>
  <si>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</si>
  <si>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</si>
  <si>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</si>
  <si>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</si>
  <si>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</si>
  <si>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</si>
  <si>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</si>
  <si>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</si>
  <si>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</si>
  <si>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</si>
  <si>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</si>
  <si>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</si>
  <si>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</si>
  <si>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</si>
  <si>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</si>
  <si>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</si>
  <si>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</si>
  <si>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</si>
  <si>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</si>
  <si>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</si>
  <si>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</si>
  <si>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</si>
  <si>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</si>
  <si>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</si>
  <si>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</si>
  <si>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</si>
  <si>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</si>
  <si>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</si>
  <si>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</si>
  <si>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</si>
  <si>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</si>
  <si>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</si>
  <si>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</si>
  <si>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</si>
  <si>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</si>
  <si>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</si>
  <si>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</si>
  <si>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</si>
  <si>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</si>
  <si>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</si>
  <si>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</si>
  <si>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</si>
  <si>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</si>
  <si>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</si>
  <si>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dbolanos@sena.edu.co</t>
  </si>
  <si>
    <t>3105199691 - 22131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</si>
  <si>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</si>
  <si>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</si>
  <si>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</si>
  <si>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</si>
  <si>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</si>
  <si>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</si>
  <si>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</si>
  <si>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</si>
  <si>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</si>
  <si>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</si>
  <si>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</si>
  <si>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</si>
  <si>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</si>
  <si>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</si>
  <si>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</si>
  <si>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</si>
  <si>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</si>
  <si>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</si>
  <si>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</si>
  <si>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</si>
  <si>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</si>
  <si>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</si>
  <si>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</si>
  <si>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Dimas Gentil Bolaños Urbano</t>
  </si>
  <si>
    <t>MANTENIMIENTO DE EQUIPOS DE COMPUTO, DISEÑO E INSTALACIÓN DE CABLEADO ESTRUCTURADO</t>
  </si>
  <si>
    <t>REALIZAR MANTENIMIENTO CORRECTIVO DE LOS EQUIPOS DE COMPUTO SEGÚN
PROCEDIMIENTO ESTABLECIDO</t>
  </si>
  <si>
    <t>ELABORAR LA DOCUMENTACIÓN TÉCNICA DEL PROCESO DE REPARACIÓN, DE ACUERDO CON LAS POLÍTICAS
ESTABLECIDAS.</t>
  </si>
  <si>
    <t>VERIFICAR EL RESULTADO DEL TRABAJO REALIZADO EN LOS EQUIPOS, EMPLEANDO PROCEDIMIENTOS
ESTABLECIDOS.</t>
  </si>
  <si>
    <t>Corregir fallas y defectos en los equipos, para restablecer las condiciones de operación del equipo</t>
  </si>
  <si>
    <t>Operar las herramientas e instrumentos de medición seleccionados y calibrados, según manual del fabricante y normas de seguridad industrial.</t>
  </si>
  <si>
    <t>DIEGO FERNANDO MACA MACA</t>
  </si>
  <si>
    <t>HENRY DANILO PAZ QUINTERO</t>
  </si>
  <si>
    <t>JUAN PABLO NUÑEZ LOPEZ</t>
  </si>
  <si>
    <t>MARIA VALENTINA VARGAS CARVAJAL</t>
  </si>
  <si>
    <t>YONNY ALEJANDRO TOVAR RODRIGUEZ</t>
  </si>
  <si>
    <t>Realizar el mantenimiento correctivo a nivel de hardware de los computadores de escritorio y portátiles de la empresa: Grupo-4</t>
  </si>
  <si>
    <t>Realizar el mantenimiento correctivo a nivel de software de los computadores de escritorio y portátiles de la empresa: Grupo-4</t>
  </si>
  <si>
    <t>ARLEX ESTIVEN CAMAYO PIAMBA</t>
  </si>
  <si>
    <t>AURA CRISTINA  CASTILLO CAPOTE</t>
  </si>
  <si>
    <t>CARLOS ANDRES GONZALEZ-PUSQUIN</t>
  </si>
  <si>
    <t>EDIER RONALDO  LOPEZ YACUMAL</t>
  </si>
  <si>
    <t>INGRID DURLEY  RINCON MENESES</t>
  </si>
  <si>
    <t>KEVIN ESTEBAN  JARAMILLO LOPEZ</t>
  </si>
  <si>
    <t>Administrar los recursos del mantenimiento de equipos que garantice su estado de funcionamiento dentro de las metas y presupuestos.</t>
  </si>
  <si>
    <t>TODOS</t>
  </si>
  <si>
    <t>Líder de área</t>
  </si>
  <si>
    <t>Preparar Actividades de Formación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</si>
  <si>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</si>
  <si>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</si>
  <si>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Administrar los recursos del Mantenimiento: grupo-2</t>
  </si>
  <si>
    <t xml:space="preserve">JAIVER ALBERTO SALAZ </t>
  </si>
  <si>
    <t xml:space="preserve">JHEFERSON ERNESTO IMBACHI </t>
  </si>
  <si>
    <t xml:space="preserve">MIGUEL ANGEL PANCHO </t>
  </si>
  <si>
    <t>Julio</t>
  </si>
  <si>
    <t>ok</t>
  </si>
  <si>
    <t>Creados por el lider de Area</t>
  </si>
  <si>
    <t>Autoevaluación</t>
  </si>
  <si>
    <t>Autoevaluación del programa de 
"Gestión de Redes de Datos"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</si>
</sst>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72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rgb="FFFFFFFF"/>
      </patternFill>
    </fill>
  </fills>
  <borders count="1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7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4" borderId="63" xfId="0" applyNumberFormat="1" applyFont="1" applyFill="1" applyBorder="1" applyAlignment="1">
      <alignment horizontal="center" vertical="center" wrapText="1"/>
    </xf>
    <xf numFmtId="2" fontId="2" fillId="14" borderId="64" xfId="0" applyNumberFormat="1" applyFont="1" applyFill="1" applyBorder="1" applyAlignment="1">
      <alignment horizontal="center" vertical="center" wrapText="1"/>
    </xf>
    <xf numFmtId="2" fontId="2" fillId="14" borderId="61" xfId="0" applyNumberFormat="1" applyFont="1" applyFill="1" applyBorder="1" applyAlignment="1">
      <alignment horizontal="center"/>
    </xf>
    <xf numFmtId="2" fontId="2" fillId="14" borderId="66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3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3" fillId="17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10" borderId="49" xfId="0" applyFont="1" applyFill="1" applyBorder="1" applyAlignment="1">
      <alignment horizontal="center" vertical="center" wrapText="1"/>
    </xf>
    <xf numFmtId="0" fontId="2" fillId="15" borderId="52" xfId="0" applyFont="1" applyFill="1" applyBorder="1"/>
    <xf numFmtId="0" fontId="2" fillId="15" borderId="53" xfId="0" applyFont="1" applyFill="1" applyBorder="1"/>
    <xf numFmtId="0" fontId="1" fillId="15" borderId="75" xfId="0" applyFont="1" applyFill="1" applyBorder="1"/>
    <xf numFmtId="2" fontId="2" fillId="18" borderId="63" xfId="0" applyNumberFormat="1" applyFont="1" applyFill="1" applyBorder="1" applyAlignment="1">
      <alignment horizontal="center" vertical="center" wrapText="1"/>
    </xf>
    <xf numFmtId="2" fontId="2" fillId="18" borderId="64" xfId="0" applyNumberFormat="1" applyFont="1" applyFill="1" applyBorder="1" applyAlignment="1">
      <alignment horizontal="center" vertical="center" wrapText="1"/>
    </xf>
    <xf numFmtId="2" fontId="2" fillId="18" borderId="61" xfId="0" applyNumberFormat="1" applyFont="1" applyFill="1" applyBorder="1" applyAlignment="1">
      <alignment horizontal="center"/>
    </xf>
    <xf numFmtId="2" fontId="2" fillId="18" borderId="66" xfId="0" applyNumberFormat="1" applyFont="1" applyFill="1" applyBorder="1" applyAlignment="1">
      <alignment horizontal="center"/>
    </xf>
    <xf numFmtId="2" fontId="1" fillId="18" borderId="68" xfId="0" applyNumberFormat="1" applyFont="1" applyFill="1" applyBorder="1" applyAlignment="1">
      <alignment horizontal="center"/>
    </xf>
    <xf numFmtId="2" fontId="1" fillId="18" borderId="69" xfId="0" applyNumberFormat="1" applyFont="1" applyFill="1" applyBorder="1" applyAlignment="1">
      <alignment horizontal="center"/>
    </xf>
    <xf numFmtId="0" fontId="14" fillId="18" borderId="52" xfId="0" applyFont="1" applyFill="1" applyBorder="1" applyAlignment="1">
      <alignment vertical="center"/>
    </xf>
    <xf numFmtId="0" fontId="14" fillId="18" borderId="53" xfId="0" applyFont="1" applyFill="1" applyBorder="1" applyAlignment="1">
      <alignment horizontal="left"/>
    </xf>
    <xf numFmtId="0" fontId="14" fillId="19" borderId="51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1" fillId="15" borderId="94" xfId="0" applyFont="1" applyFill="1" applyBorder="1"/>
    <xf numFmtId="0" fontId="1" fillId="15" borderId="95" xfId="0" applyFont="1" applyFill="1" applyBorder="1"/>
    <xf numFmtId="0" fontId="1" fillId="15" borderId="87" xfId="0" applyFont="1" applyFill="1" applyBorder="1"/>
    <xf numFmtId="0" fontId="14" fillId="18" borderId="96" xfId="2" applyFont="1" applyFill="1" applyBorder="1" applyAlignment="1">
      <alignment vertical="center"/>
    </xf>
    <xf numFmtId="0" fontId="14" fillId="18" borderId="95" xfId="0" applyFont="1" applyFill="1" applyBorder="1" applyAlignment="1"/>
    <xf numFmtId="0" fontId="14" fillId="19" borderId="5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5" fillId="0" borderId="0" xfId="0" applyFont="1" applyFill="1" applyAlignment="1"/>
    <xf numFmtId="0" fontId="15" fillId="0" borderId="0" xfId="0" applyFont="1" applyAlignment="1"/>
    <xf numFmtId="0" fontId="16" fillId="0" borderId="100" xfId="0" applyFont="1" applyFill="1" applyBorder="1" applyAlignment="1">
      <alignment horizontal="right" vertical="center"/>
    </xf>
    <xf numFmtId="0" fontId="16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6" fillId="0" borderId="102" xfId="0" applyFont="1" applyBorder="1" applyAlignment="1">
      <alignment horizontal="right" vertical="center"/>
    </xf>
    <xf numFmtId="0" fontId="16" fillId="6" borderId="108" xfId="0" applyFont="1" applyFill="1" applyBorder="1" applyAlignment="1">
      <alignment horizontal="right" vertical="center"/>
    </xf>
    <xf numFmtId="0" fontId="12" fillId="0" borderId="76" xfId="0" applyFont="1" applyFill="1" applyBorder="1" applyAlignment="1">
      <alignment horizontal="center" vertical="center"/>
    </xf>
    <xf numFmtId="0" fontId="12" fillId="0" borderId="74" xfId="0" applyFont="1" applyBorder="1" applyAlignment="1">
      <alignment horizontal="center" vertical="center"/>
    </xf>
    <xf numFmtId="0" fontId="12" fillId="0" borderId="103" xfId="0" applyFont="1" applyBorder="1" applyAlignment="1">
      <alignment horizontal="center" vertical="center"/>
    </xf>
    <xf numFmtId="0" fontId="19" fillId="6" borderId="109" xfId="0" applyFont="1" applyFill="1" applyBorder="1" applyAlignment="1">
      <alignment horizontal="center" vertical="center"/>
    </xf>
    <xf numFmtId="0" fontId="2" fillId="11" borderId="108" xfId="0" applyFont="1" applyFill="1" applyBorder="1" applyAlignment="1">
      <alignment horizontal="center"/>
    </xf>
    <xf numFmtId="0" fontId="2" fillId="11" borderId="110" xfId="0" applyFont="1" applyFill="1" applyBorder="1" applyAlignment="1">
      <alignment horizontal="center"/>
    </xf>
    <xf numFmtId="0" fontId="2" fillId="11" borderId="109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2" fontId="2" fillId="14" borderId="91" xfId="0" applyNumberFormat="1" applyFont="1" applyFill="1" applyBorder="1" applyAlignment="1">
      <alignment horizontal="center" vertical="center" wrapText="1"/>
    </xf>
    <xf numFmtId="2" fontId="2" fillId="14" borderId="43" xfId="0" applyNumberFormat="1" applyFont="1" applyFill="1" applyBorder="1" applyAlignment="1">
      <alignment horizontal="center"/>
    </xf>
    <xf numFmtId="2" fontId="2" fillId="18" borderId="91" xfId="0" applyNumberFormat="1" applyFont="1" applyFill="1" applyBorder="1" applyAlignment="1">
      <alignment horizontal="center" vertical="center" wrapText="1"/>
    </xf>
    <xf numFmtId="2" fontId="2" fillId="18" borderId="43" xfId="0" applyNumberFormat="1" applyFont="1" applyFill="1" applyBorder="1" applyAlignment="1">
      <alignment horizontal="center"/>
    </xf>
    <xf numFmtId="2" fontId="1" fillId="18" borderId="92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20" borderId="91" xfId="0" applyNumberFormat="1" applyFont="1" applyFill="1" applyBorder="1" applyAlignment="1">
      <alignment horizontal="center" vertical="center" wrapText="1"/>
    </xf>
    <xf numFmtId="2" fontId="2" fillId="20" borderId="63" xfId="0" applyNumberFormat="1" applyFont="1" applyFill="1" applyBorder="1" applyAlignment="1">
      <alignment horizontal="center" vertical="center" wrapText="1"/>
    </xf>
    <xf numFmtId="2" fontId="2" fillId="20" borderId="64" xfId="0" applyNumberFormat="1" applyFont="1" applyFill="1" applyBorder="1" applyAlignment="1">
      <alignment horizontal="center" vertical="center" wrapText="1"/>
    </xf>
    <xf numFmtId="2" fontId="2" fillId="20" borderId="43" xfId="0" applyNumberFormat="1" applyFont="1" applyFill="1" applyBorder="1" applyAlignment="1">
      <alignment horizontal="center"/>
    </xf>
    <xf numFmtId="2" fontId="2" fillId="20" borderId="61" xfId="0" applyNumberFormat="1" applyFont="1" applyFill="1" applyBorder="1" applyAlignment="1">
      <alignment horizontal="center"/>
    </xf>
    <xf numFmtId="2" fontId="2" fillId="20" borderId="66" xfId="0" applyNumberFormat="1" applyFont="1" applyFill="1" applyBorder="1" applyAlignment="1">
      <alignment horizontal="center"/>
    </xf>
    <xf numFmtId="2" fontId="1" fillId="20" borderId="43" xfId="0" applyNumberFormat="1" applyFont="1" applyFill="1" applyBorder="1" applyAlignment="1">
      <alignment horizontal="center"/>
    </xf>
    <xf numFmtId="2" fontId="1" fillId="20" borderId="61" xfId="0" applyNumberFormat="1" applyFont="1" applyFill="1" applyBorder="1" applyAlignment="1">
      <alignment horizontal="center"/>
    </xf>
    <xf numFmtId="2" fontId="1" fillId="20" borderId="57" xfId="0" applyNumberFormat="1" applyFont="1" applyFill="1" applyBorder="1" applyAlignment="1">
      <alignment horizontal="center"/>
    </xf>
    <xf numFmtId="0" fontId="2" fillId="21" borderId="52" xfId="0" applyFont="1" applyFill="1" applyBorder="1"/>
    <xf numFmtId="0" fontId="1" fillId="21" borderId="94" xfId="0" applyFont="1" applyFill="1" applyBorder="1"/>
    <xf numFmtId="0" fontId="2" fillId="21" borderId="53" xfId="0" applyFont="1" applyFill="1" applyBorder="1"/>
    <xf numFmtId="0" fontId="1" fillId="21" borderId="95" xfId="0" applyFont="1" applyFill="1" applyBorder="1"/>
    <xf numFmtId="0" fontId="1" fillId="21" borderId="75" xfId="0" applyFont="1" applyFill="1" applyBorder="1"/>
    <xf numFmtId="0" fontId="1" fillId="21" borderId="87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0" fontId="2" fillId="18" borderId="17" xfId="0" applyFont="1" applyFill="1" applyBorder="1" applyAlignment="1">
      <alignment vertical="top" wrapText="1"/>
    </xf>
    <xf numFmtId="2" fontId="1" fillId="14" borderId="92" xfId="0" applyNumberFormat="1" applyFont="1" applyFill="1" applyBorder="1" applyAlignment="1">
      <alignment horizontal="center"/>
    </xf>
    <xf numFmtId="2" fontId="1" fillId="14" borderId="68" xfId="0" applyNumberFormat="1" applyFont="1" applyFill="1" applyBorder="1" applyAlignment="1">
      <alignment horizontal="center"/>
    </xf>
    <xf numFmtId="2" fontId="1" fillId="14" borderId="60" xfId="0" applyNumberFormat="1" applyFont="1" applyFill="1" applyBorder="1" applyAlignment="1">
      <alignment horizontal="center"/>
    </xf>
    <xf numFmtId="0" fontId="20" fillId="18" borderId="53" xfId="0" applyFont="1" applyFill="1" applyBorder="1" applyAlignment="1">
      <alignment horizontal="left"/>
    </xf>
    <xf numFmtId="0" fontId="1" fillId="0" borderId="48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22" borderId="32" xfId="0" applyFont="1" applyFill="1" applyBorder="1" applyAlignment="1">
      <alignment horizontal="center" vertical="center" wrapText="1"/>
    </xf>
    <xf numFmtId="0" fontId="1" fillId="9" borderId="49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23" borderId="1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21" fillId="7" borderId="0" xfId="0" applyFont="1" applyFill="1" applyBorder="1" applyAlignment="1">
      <alignment horizontal="center"/>
    </xf>
    <xf numFmtId="0" fontId="1" fillId="12" borderId="16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36" xfId="0" applyFont="1" applyFill="1" applyBorder="1" applyAlignment="1">
      <alignment horizontal="center" vertical="center" wrapText="1"/>
    </xf>
    <xf numFmtId="0" fontId="2" fillId="16" borderId="55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8" xfId="0" applyFont="1" applyFill="1" applyBorder="1" applyAlignment="1">
      <alignment horizontal="center" vertical="center" wrapText="1"/>
    </xf>
    <xf numFmtId="0" fontId="2" fillId="16" borderId="59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18" borderId="15" xfId="0" applyFont="1" applyFill="1" applyBorder="1" applyAlignment="1">
      <alignment horizontal="left" vertical="top" wrapText="1"/>
    </xf>
    <xf numFmtId="0" fontId="2" fillId="18" borderId="31" xfId="0" applyFont="1" applyFill="1" applyBorder="1" applyAlignment="1">
      <alignment horizontal="left" vertical="top" wrapText="1"/>
    </xf>
    <xf numFmtId="0" fontId="2" fillId="14" borderId="63" xfId="0" applyFont="1" applyFill="1" applyBorder="1" applyAlignment="1">
      <alignment horizontal="center" vertical="center" wrapText="1"/>
    </xf>
    <xf numFmtId="0" fontId="2" fillId="14" borderId="61" xfId="0" applyFont="1" applyFill="1" applyBorder="1" applyAlignment="1">
      <alignment horizontal="center" vertical="center" wrapText="1"/>
    </xf>
    <xf numFmtId="0" fontId="2" fillId="14" borderId="68" xfId="0" applyFont="1" applyFill="1" applyBorder="1" applyAlignment="1">
      <alignment horizontal="center" vertical="center" wrapText="1"/>
    </xf>
    <xf numFmtId="0" fontId="19" fillId="11" borderId="37" xfId="0" applyFont="1" applyFill="1" applyBorder="1" applyAlignment="1">
      <alignment horizontal="center" vertical="center"/>
    </xf>
    <xf numFmtId="0" fontId="19" fillId="11" borderId="7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2" fillId="20" borderId="24" xfId="0" applyFont="1" applyFill="1" applyBorder="1" applyAlignment="1">
      <alignment horizontal="center" vertical="center" wrapText="1"/>
    </xf>
    <xf numFmtId="0" fontId="1" fillId="20" borderId="28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2" fillId="20" borderId="46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16" borderId="89" xfId="0" applyFont="1" applyFill="1" applyBorder="1" applyAlignment="1">
      <alignment horizontal="center" vertical="center" wrapText="1"/>
    </xf>
    <xf numFmtId="0" fontId="2" fillId="16" borderId="90" xfId="0" applyFont="1" applyFill="1" applyBorder="1" applyAlignment="1">
      <alignment horizontal="center" vertical="center" wrapText="1"/>
    </xf>
    <xf numFmtId="0" fontId="2" fillId="16" borderId="86" xfId="0" applyFont="1" applyFill="1" applyBorder="1" applyAlignment="1">
      <alignment horizontal="center" vertical="center" wrapText="1"/>
    </xf>
    <xf numFmtId="0" fontId="14" fillId="18" borderId="63" xfId="0" applyFont="1" applyFill="1" applyBorder="1" applyAlignment="1">
      <alignment horizontal="center" vertical="center"/>
    </xf>
    <xf numFmtId="0" fontId="14" fillId="18" borderId="61" xfId="0" applyFont="1" applyFill="1" applyBorder="1" applyAlignment="1">
      <alignment horizontal="center" vertical="center"/>
    </xf>
    <xf numFmtId="0" fontId="14" fillId="18" borderId="68" xfId="0" applyFont="1" applyFill="1" applyBorder="1" applyAlignment="1">
      <alignment horizontal="center" vertical="center"/>
    </xf>
    <xf numFmtId="0" fontId="14" fillId="18" borderId="64" xfId="0" applyFont="1" applyFill="1" applyBorder="1" applyAlignment="1">
      <alignment horizontal="center" vertical="center"/>
    </xf>
    <xf numFmtId="0" fontId="14" fillId="18" borderId="66" xfId="0" applyFont="1" applyFill="1" applyBorder="1" applyAlignment="1">
      <alignment horizontal="center" vertical="center"/>
    </xf>
    <xf numFmtId="0" fontId="14" fillId="18" borderId="69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0" fillId="20" borderId="62" xfId="0" applyFont="1" applyFill="1" applyBorder="1" applyAlignment="1">
      <alignment horizontal="center" vertical="center"/>
    </xf>
    <xf numFmtId="0" fontId="0" fillId="20" borderId="65" xfId="0" applyFont="1" applyFill="1" applyBorder="1" applyAlignment="1">
      <alignment horizontal="center" vertical="center"/>
    </xf>
    <xf numFmtId="0" fontId="0" fillId="20" borderId="67" xfId="0" applyFont="1" applyFill="1" applyBorder="1" applyAlignment="1">
      <alignment horizontal="center" vertical="center"/>
    </xf>
    <xf numFmtId="0" fontId="1" fillId="21" borderId="63" xfId="0" applyFont="1" applyFill="1" applyBorder="1" applyAlignment="1">
      <alignment horizontal="center" vertical="center"/>
    </xf>
    <xf numFmtId="0" fontId="1" fillId="21" borderId="61" xfId="0" applyFont="1" applyFill="1" applyBorder="1" applyAlignment="1">
      <alignment horizontal="center" vertical="center"/>
    </xf>
    <xf numFmtId="0" fontId="1" fillId="21" borderId="68" xfId="0" applyFont="1" applyFill="1" applyBorder="1" applyAlignment="1">
      <alignment horizontal="center" vertical="center"/>
    </xf>
    <xf numFmtId="0" fontId="1" fillId="21" borderId="64" xfId="0" applyFont="1" applyFill="1" applyBorder="1" applyAlignment="1">
      <alignment horizontal="center" vertical="center"/>
    </xf>
    <xf numFmtId="0" fontId="1" fillId="21" borderId="66" xfId="0" applyFont="1" applyFill="1" applyBorder="1" applyAlignment="1">
      <alignment horizontal="center" vertical="center"/>
    </xf>
    <xf numFmtId="0" fontId="1" fillId="21" borderId="69" xfId="0" applyFont="1" applyFill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1" fillId="15" borderId="63" xfId="0" applyFont="1" applyFill="1" applyBorder="1" applyAlignment="1">
      <alignment horizontal="center" vertical="center"/>
    </xf>
    <xf numFmtId="0" fontId="1" fillId="15" borderId="61" xfId="0" applyFont="1" applyFill="1" applyBorder="1" applyAlignment="1">
      <alignment horizontal="center" vertical="center"/>
    </xf>
    <xf numFmtId="0" fontId="1" fillId="15" borderId="68" xfId="0" applyFont="1" applyFill="1" applyBorder="1" applyAlignment="1">
      <alignment horizontal="center" vertical="center"/>
    </xf>
    <xf numFmtId="0" fontId="1" fillId="15" borderId="64" xfId="0" applyFont="1" applyFill="1" applyBorder="1" applyAlignment="1">
      <alignment horizontal="center" vertical="center"/>
    </xf>
    <xf numFmtId="0" fontId="1" fillId="15" borderId="66" xfId="0" applyFont="1" applyFill="1" applyBorder="1" applyAlignment="1">
      <alignment horizontal="center" vertical="center"/>
    </xf>
    <xf numFmtId="0" fontId="1" fillId="15" borderId="69" xfId="0" applyFont="1" applyFill="1" applyBorder="1" applyAlignment="1">
      <alignment horizontal="center" vertical="center"/>
    </xf>
    <xf numFmtId="0" fontId="2" fillId="19" borderId="2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31" xfId="0" applyFont="1" applyFill="1" applyBorder="1"/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71" xfId="0" applyFont="1" applyFill="1" applyBorder="1" applyAlignment="1">
      <alignment horizontal="right" vertical="center" wrapText="1"/>
    </xf>
    <xf numFmtId="0" fontId="1" fillId="11" borderId="72" xfId="0" applyFont="1" applyFill="1" applyBorder="1" applyAlignment="1">
      <alignment horizontal="center"/>
    </xf>
    <xf numFmtId="0" fontId="1" fillId="11" borderId="93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" fillId="14" borderId="8" xfId="0" applyFont="1" applyFill="1" applyBorder="1"/>
    <xf numFmtId="0" fontId="2" fillId="14" borderId="25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2" fillId="20" borderId="34" xfId="0" applyFont="1" applyFill="1" applyBorder="1" applyAlignment="1">
      <alignment horizontal="center" vertical="center" wrapText="1"/>
    </xf>
    <xf numFmtId="0" fontId="1" fillId="20" borderId="8" xfId="0" applyFont="1" applyFill="1" applyBorder="1"/>
    <xf numFmtId="0" fontId="2" fillId="0" borderId="0" xfId="0" applyFont="1" applyBorder="1" applyAlignment="1">
      <alignment horizontal="center"/>
    </xf>
    <xf numFmtId="0" fontId="2" fillId="18" borderId="24" xfId="0" applyFont="1" applyFill="1" applyBorder="1" applyAlignment="1">
      <alignment horizontal="center" vertical="center" wrapText="1"/>
    </xf>
    <xf numFmtId="0" fontId="1" fillId="18" borderId="28" xfId="0" applyFont="1" applyFill="1" applyBorder="1"/>
    <xf numFmtId="0" fontId="1" fillId="18" borderId="30" xfId="0" applyFont="1" applyFill="1" applyBorder="1"/>
    <xf numFmtId="0" fontId="1" fillId="6" borderId="31" xfId="0" applyFont="1" applyFill="1" applyBorder="1"/>
    <xf numFmtId="0" fontId="2" fillId="14" borderId="24" xfId="0" applyFont="1" applyFill="1" applyBorder="1" applyAlignment="1">
      <alignment horizontal="center" vertical="center" wrapText="1"/>
    </xf>
    <xf numFmtId="0" fontId="1" fillId="14" borderId="28" xfId="0" applyFont="1" applyFill="1" applyBorder="1"/>
    <xf numFmtId="0" fontId="1" fillId="14" borderId="30" xfId="0" applyFont="1" applyFill="1" applyBorder="1"/>
    <xf numFmtId="0" fontId="1" fillId="6" borderId="36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1" fillId="14" borderId="31" xfId="0" applyFont="1" applyFill="1" applyBorder="1"/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1" fillId="0" borderId="17" xfId="0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4" borderId="46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2" fillId="18" borderId="25" xfId="0" applyFont="1" applyFill="1" applyBorder="1" applyAlignment="1">
      <alignment horizontal="center" vertical="center" wrapText="1"/>
    </xf>
    <xf numFmtId="0" fontId="2" fillId="18" borderId="46" xfId="0" applyFont="1" applyFill="1" applyBorder="1" applyAlignment="1">
      <alignment horizontal="center" vertical="center" wrapText="1"/>
    </xf>
    <xf numFmtId="0" fontId="1" fillId="18" borderId="4" xfId="0" applyFont="1" applyFill="1" applyBorder="1"/>
    <xf numFmtId="0" fontId="1" fillId="18" borderId="47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17" borderId="37" xfId="0" applyFont="1" applyFill="1" applyBorder="1" applyAlignment="1">
      <alignment horizontal="right" vertical="center" wrapText="1"/>
    </xf>
    <xf numFmtId="0" fontId="2" fillId="17" borderId="38" xfId="0" applyFont="1" applyFill="1" applyBorder="1" applyAlignment="1">
      <alignment horizontal="right" vertical="center" wrapText="1"/>
    </xf>
    <xf numFmtId="0" fontId="2" fillId="17" borderId="71" xfId="0" applyFont="1" applyFill="1" applyBorder="1" applyAlignment="1">
      <alignment horizontal="right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2" xfId="0" applyFont="1" applyFill="1" applyBorder="1"/>
    <xf numFmtId="0" fontId="1" fillId="0" borderId="4" xfId="0" applyFont="1" applyBorder="1"/>
    <xf numFmtId="0" fontId="2" fillId="15" borderId="46" xfId="0" applyFont="1" applyFill="1" applyBorder="1" applyAlignment="1">
      <alignment horizontal="center" vertical="center" wrapText="1"/>
    </xf>
    <xf numFmtId="0" fontId="1" fillId="14" borderId="47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59" xfId="0" applyFont="1" applyFill="1" applyBorder="1"/>
    <xf numFmtId="0" fontId="2" fillId="18" borderId="25" xfId="0" applyFont="1" applyFill="1" applyBorder="1" applyAlignment="1">
      <alignment horizontal="left" vertical="top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55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7"/>
  <sheetViews>
    <sheetView showGridLines="0" tabSelected="1" topLeftCell="C6" zoomScale="80" zoomScaleNormal="80" workbookViewId="0">
      <selection activeCell="V7" sqref="V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66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3" hidden="1" customWidth="1"/>
    <col min="44" max="44" width="5" style="23" hidden="1" customWidth="1"/>
    <col min="45" max="45" width="0.5703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01" t="s">
        <v>0</v>
      </c>
      <c r="B2" s="219"/>
      <c r="C2" s="219"/>
      <c r="D2" s="215" t="s">
        <v>45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4"/>
      <c r="Y2" s="199" t="s">
        <v>69</v>
      </c>
      <c r="Z2" s="200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02"/>
      <c r="B3" s="219"/>
      <c r="C3" s="219"/>
      <c r="D3" s="221" t="s">
        <v>57</v>
      </c>
      <c r="E3" s="221"/>
      <c r="F3" s="221"/>
      <c r="G3" s="221" t="s">
        <v>27</v>
      </c>
      <c r="H3" s="221"/>
      <c r="I3" s="221"/>
      <c r="J3" s="221"/>
      <c r="K3" s="221"/>
      <c r="L3" s="221"/>
      <c r="M3" s="221"/>
      <c r="N3" s="221" t="s">
        <v>28</v>
      </c>
      <c r="O3" s="221"/>
      <c r="P3" s="221"/>
      <c r="Q3" s="221"/>
      <c r="R3" s="221"/>
      <c r="S3" s="221"/>
      <c r="T3" s="221"/>
      <c r="U3" s="221"/>
      <c r="V3" s="221" t="s">
        <v>30</v>
      </c>
      <c r="W3" s="221"/>
      <c r="X3" s="4"/>
      <c r="Y3" s="109" t="s">
        <v>63</v>
      </c>
      <c r="Z3" s="115">
        <v>10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02"/>
      <c r="B4" s="219"/>
      <c r="C4" s="219"/>
      <c r="D4" s="239" t="s">
        <v>101</v>
      </c>
      <c r="E4" s="240"/>
      <c r="F4" s="241"/>
      <c r="G4" s="301" t="s">
        <v>71</v>
      </c>
      <c r="H4" s="301"/>
      <c r="I4" s="301"/>
      <c r="J4" s="301"/>
      <c r="K4" s="301"/>
      <c r="L4" s="301"/>
      <c r="M4" s="301"/>
      <c r="N4" s="302" t="s">
        <v>46</v>
      </c>
      <c r="O4" s="303"/>
      <c r="P4" s="303"/>
      <c r="Q4" s="303"/>
      <c r="R4" s="303"/>
      <c r="S4" s="303"/>
      <c r="T4" s="303"/>
      <c r="U4" s="304"/>
      <c r="V4" s="317">
        <v>42932</v>
      </c>
      <c r="W4" s="318"/>
      <c r="X4" s="4"/>
      <c r="Y4" s="110" t="s">
        <v>62</v>
      </c>
      <c r="Z4" s="116">
        <v>6.4</v>
      </c>
      <c r="AA4" s="4"/>
      <c r="AB4" s="4"/>
      <c r="AC4" s="4"/>
      <c r="AD4" s="4"/>
      <c r="AE4" s="21"/>
      <c r="AF4" s="4" t="s">
        <v>67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02"/>
      <c r="B5" s="220" t="s">
        <v>26</v>
      </c>
      <c r="C5" s="220"/>
      <c r="D5" s="242"/>
      <c r="E5" s="243"/>
      <c r="F5" s="244"/>
      <c r="G5" s="221" t="s">
        <v>1</v>
      </c>
      <c r="H5" s="221"/>
      <c r="I5" s="221"/>
      <c r="J5" s="221"/>
      <c r="K5" s="221"/>
      <c r="L5" s="221"/>
      <c r="M5" s="221"/>
      <c r="N5" s="305" t="s">
        <v>29</v>
      </c>
      <c r="O5" s="305"/>
      <c r="P5" s="305"/>
      <c r="Q5" s="305"/>
      <c r="R5" s="305"/>
      <c r="S5" s="305"/>
      <c r="T5" s="305"/>
      <c r="U5" s="305"/>
      <c r="V5" s="319"/>
      <c r="W5" s="320"/>
      <c r="X5" s="4"/>
      <c r="Y5" s="110" t="s">
        <v>64</v>
      </c>
      <c r="Z5" s="116">
        <f>Z4*Z3</f>
        <v>64</v>
      </c>
      <c r="AA5" s="4"/>
      <c r="AB5" s="4"/>
      <c r="AC5" s="4"/>
      <c r="AD5" s="4"/>
      <c r="AE5" s="21"/>
      <c r="AF5" s="4" t="s">
        <v>68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02"/>
      <c r="B6" s="220"/>
      <c r="C6" s="220"/>
      <c r="D6" s="242"/>
      <c r="E6" s="243"/>
      <c r="F6" s="244"/>
      <c r="G6" s="301">
        <v>87247267</v>
      </c>
      <c r="H6" s="301"/>
      <c r="I6" s="301"/>
      <c r="J6" s="301"/>
      <c r="K6" s="301"/>
      <c r="L6" s="301"/>
      <c r="M6" s="301"/>
      <c r="N6" s="301" t="s">
        <v>47</v>
      </c>
      <c r="O6" s="301"/>
      <c r="P6" s="301"/>
      <c r="Q6" s="301"/>
      <c r="R6" s="301"/>
      <c r="S6" s="301"/>
      <c r="T6" s="301"/>
      <c r="U6" s="301"/>
      <c r="V6" s="321"/>
      <c r="W6" s="322"/>
      <c r="X6" s="4"/>
      <c r="Y6" s="113" t="s">
        <v>65</v>
      </c>
      <c r="Z6" s="117">
        <f>IF(Z4=8,0,2.1*Z3)</f>
        <v>21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02"/>
      <c r="B7" s="220"/>
      <c r="C7" s="220"/>
      <c r="D7" s="245"/>
      <c r="E7" s="246"/>
      <c r="F7" s="247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2"/>
      <c r="X7" s="4"/>
      <c r="Y7" s="114" t="s">
        <v>66</v>
      </c>
      <c r="Z7" s="118">
        <f>+Z6+Z5</f>
        <v>85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17"/>
      <c r="O8" s="218"/>
      <c r="P8" s="218"/>
      <c r="Q8" s="218"/>
      <c r="R8" s="218"/>
      <c r="S8" s="218"/>
      <c r="T8" s="218"/>
      <c r="U8" s="218"/>
      <c r="V8" s="218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332" t="s">
        <v>31</v>
      </c>
      <c r="B9" s="333"/>
      <c r="C9" s="333"/>
      <c r="D9" s="333"/>
      <c r="E9" s="333"/>
      <c r="F9" s="333"/>
      <c r="G9" s="333"/>
      <c r="H9" s="333"/>
      <c r="I9" s="333"/>
      <c r="J9" s="333"/>
      <c r="K9" s="333"/>
      <c r="L9" s="333"/>
      <c r="M9" s="333"/>
      <c r="N9" s="333"/>
      <c r="O9" s="333"/>
      <c r="P9" s="333"/>
      <c r="Q9" s="333"/>
      <c r="R9" s="333"/>
      <c r="S9" s="333"/>
      <c r="T9" s="333"/>
      <c r="U9" s="333"/>
      <c r="V9" s="333"/>
      <c r="W9" s="333"/>
      <c r="X9" s="333"/>
      <c r="Y9" s="333"/>
      <c r="Z9" s="91"/>
      <c r="AA9" s="91"/>
      <c r="AB9" s="91"/>
      <c r="AC9" s="91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80" t="s">
        <v>2</v>
      </c>
      <c r="B10" s="203" t="s">
        <v>3</v>
      </c>
      <c r="C10" s="203" t="s">
        <v>44</v>
      </c>
      <c r="D10" s="203" t="s">
        <v>56</v>
      </c>
      <c r="E10" s="203" t="s">
        <v>7</v>
      </c>
      <c r="F10" s="203" t="s">
        <v>4</v>
      </c>
      <c r="G10" s="213" t="s">
        <v>6</v>
      </c>
      <c r="H10" s="214"/>
      <c r="I10" s="214"/>
      <c r="J10" s="214"/>
      <c r="K10" s="214"/>
      <c r="L10" s="214"/>
      <c r="M10" s="29"/>
      <c r="N10" s="203" t="s">
        <v>5</v>
      </c>
      <c r="O10" s="203" t="s">
        <v>32</v>
      </c>
      <c r="P10" s="203" t="s">
        <v>8</v>
      </c>
      <c r="Q10" s="203" t="s">
        <v>9</v>
      </c>
      <c r="R10" s="312" t="s">
        <v>10</v>
      </c>
      <c r="S10" s="214"/>
      <c r="T10" s="214"/>
      <c r="U10" s="214"/>
      <c r="V10" s="214"/>
      <c r="W10" s="214"/>
      <c r="X10" s="334" t="s">
        <v>53</v>
      </c>
      <c r="Y10" s="335"/>
      <c r="Z10" s="248" t="s">
        <v>58</v>
      </c>
      <c r="AA10" s="249"/>
      <c r="AB10" s="249"/>
      <c r="AC10" s="250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81"/>
      <c r="B11" s="204"/>
      <c r="C11" s="204"/>
      <c r="D11" s="204"/>
      <c r="E11" s="204"/>
      <c r="F11" s="204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315"/>
      <c r="O11" s="316"/>
      <c r="P11" s="204"/>
      <c r="Q11" s="204"/>
      <c r="R11" s="313"/>
      <c r="S11" s="314"/>
      <c r="T11" s="314"/>
      <c r="U11" s="314"/>
      <c r="V11" s="314"/>
      <c r="W11" s="314"/>
      <c r="X11" s="336"/>
      <c r="Y11" s="337"/>
      <c r="Z11" s="251"/>
      <c r="AA11" s="252"/>
      <c r="AB11" s="252"/>
      <c r="AC11" s="253"/>
      <c r="AD11" s="4"/>
      <c r="AE11" s="122" t="s">
        <v>70</v>
      </c>
      <c r="AF11" s="4"/>
      <c r="AG11" s="4"/>
      <c r="AH11" s="4"/>
      <c r="AI11" s="4"/>
      <c r="AM11" s="22"/>
      <c r="AN11" s="22"/>
      <c r="AO11" s="22"/>
      <c r="AP11" s="22"/>
    </row>
    <row r="12" spans="1:44" ht="75" customHeight="1" thickBot="1" x14ac:dyDescent="1.4">
      <c r="A12" s="32"/>
      <c r="B12" s="33"/>
      <c r="C12" s="33"/>
      <c r="D12" s="33"/>
      <c r="E12" s="34"/>
      <c r="F12" s="34"/>
      <c r="G12" s="35"/>
      <c r="H12" s="35"/>
      <c r="I12" s="171" t="s">
        <v>103</v>
      </c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78"/>
      <c r="Y12" s="279"/>
      <c r="Z12" s="119" t="s">
        <v>54</v>
      </c>
      <c r="AA12" s="120" t="s">
        <v>59</v>
      </c>
      <c r="AB12" s="120" t="s">
        <v>55</v>
      </c>
      <c r="AC12" s="121" t="s">
        <v>60</v>
      </c>
      <c r="AD12" s="4"/>
      <c r="AE12" s="102" t="s">
        <v>61</v>
      </c>
      <c r="AF12" s="101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hidden="1" customHeight="1" thickBot="1" x14ac:dyDescent="0.25">
      <c r="A13" s="207">
        <v>1094164</v>
      </c>
      <c r="B13" s="209" t="s">
        <v>72</v>
      </c>
      <c r="C13" s="209" t="s">
        <v>83</v>
      </c>
      <c r="D13" s="209">
        <v>5</v>
      </c>
      <c r="E13" s="209" t="s">
        <v>73</v>
      </c>
      <c r="F13" s="299" t="s">
        <v>74</v>
      </c>
      <c r="G13" s="130"/>
      <c r="H13" s="131"/>
      <c r="I13" s="131"/>
      <c r="J13" s="131"/>
      <c r="K13" s="131"/>
      <c r="L13" s="131"/>
      <c r="M13" s="132"/>
      <c r="N13" s="286">
        <v>160</v>
      </c>
      <c r="O13" s="205">
        <v>130</v>
      </c>
      <c r="P13" s="205">
        <v>13</v>
      </c>
      <c r="Q13" s="211">
        <f>P13+O13</f>
        <v>143</v>
      </c>
      <c r="R13" s="160">
        <v>3</v>
      </c>
      <c r="S13" s="161">
        <v>4</v>
      </c>
      <c r="T13" s="161">
        <v>5</v>
      </c>
      <c r="U13" s="161">
        <v>6</v>
      </c>
      <c r="V13" s="161">
        <v>7</v>
      </c>
      <c r="W13" s="8">
        <v>8</v>
      </c>
      <c r="X13" s="139" t="s">
        <v>78</v>
      </c>
      <c r="Y13" s="140"/>
      <c r="Z13" s="254">
        <v>6640219</v>
      </c>
      <c r="AA13" s="257" t="s">
        <v>102</v>
      </c>
      <c r="AB13" s="257" t="s">
        <v>102</v>
      </c>
      <c r="AC13" s="260"/>
      <c r="AD13" s="5"/>
      <c r="AE13" s="191">
        <f>AO16</f>
        <v>13</v>
      </c>
      <c r="AF13" s="40">
        <f t="shared" ref="AF13:AF17" si="0">CountCcolor(R13,ColorRef)</f>
        <v>0</v>
      </c>
      <c r="AG13" s="40">
        <f t="shared" ref="AG13:AG17" si="1">CountCcolor(S13,ColorRef)</f>
        <v>0</v>
      </c>
      <c r="AH13" s="40">
        <f t="shared" ref="AH13:AH17" si="2">CountCcolor(T13,ColorRef)</f>
        <v>0</v>
      </c>
      <c r="AI13" s="40">
        <f t="shared" ref="AI13:AI17" si="3">CountCcolor(U13,ColorRef)</f>
        <v>0</v>
      </c>
      <c r="AJ13" s="40">
        <f t="shared" ref="AJ13:AJ17" si="4">CountCcolor(V13,ColorRef)</f>
        <v>0</v>
      </c>
      <c r="AK13" s="41">
        <f t="shared" ref="AK13:AK17" si="5">CountCcolor(W13,ColorRef)</f>
        <v>0</v>
      </c>
      <c r="AL13" s="42"/>
      <c r="AM13" s="43">
        <f>G16-G14</f>
        <v>2</v>
      </c>
      <c r="AN13" s="43">
        <f t="shared" ref="AN13" si="6">H16-H14</f>
        <v>2</v>
      </c>
      <c r="AO13" s="43">
        <f t="shared" ref="AO13" si="7">I16-I14</f>
        <v>3</v>
      </c>
      <c r="AP13" s="43">
        <f t="shared" ref="AP13" si="8">J16-J14</f>
        <v>2</v>
      </c>
      <c r="AQ13" s="43">
        <f t="shared" ref="AQ13" si="9">K16-K14</f>
        <v>2</v>
      </c>
      <c r="AR13" s="43">
        <f t="shared" ref="AR13" si="10">L16-L14</f>
        <v>0</v>
      </c>
    </row>
    <row r="14" spans="1:44" ht="20.100000000000001" hidden="1" customHeight="1" thickBot="1" x14ac:dyDescent="0.25">
      <c r="A14" s="208"/>
      <c r="B14" s="210"/>
      <c r="C14" s="210"/>
      <c r="D14" s="210"/>
      <c r="E14" s="210"/>
      <c r="F14" s="300"/>
      <c r="G14" s="133">
        <v>9</v>
      </c>
      <c r="H14" s="134">
        <v>11</v>
      </c>
      <c r="I14" s="134">
        <v>10</v>
      </c>
      <c r="J14" s="134">
        <v>11</v>
      </c>
      <c r="K14" s="134">
        <v>9</v>
      </c>
      <c r="L14" s="134"/>
      <c r="M14" s="135"/>
      <c r="N14" s="287"/>
      <c r="O14" s="206"/>
      <c r="P14" s="206"/>
      <c r="Q14" s="212"/>
      <c r="R14" s="163">
        <f>W13+2</f>
        <v>10</v>
      </c>
      <c r="S14" s="170">
        <f>R14+1</f>
        <v>11</v>
      </c>
      <c r="T14" s="170">
        <f t="shared" ref="T14:W14" si="11">T13+7</f>
        <v>12</v>
      </c>
      <c r="U14" s="170">
        <f t="shared" si="11"/>
        <v>13</v>
      </c>
      <c r="V14" s="170">
        <f t="shared" si="11"/>
        <v>14</v>
      </c>
      <c r="W14" s="7">
        <f t="shared" si="11"/>
        <v>15</v>
      </c>
      <c r="X14" s="141" t="s">
        <v>79</v>
      </c>
      <c r="Y14" s="142"/>
      <c r="Z14" s="255"/>
      <c r="AA14" s="258"/>
      <c r="AB14" s="258"/>
      <c r="AC14" s="261"/>
      <c r="AD14" s="5"/>
      <c r="AE14" s="192"/>
      <c r="AF14" s="92">
        <f t="shared" si="0"/>
        <v>0</v>
      </c>
      <c r="AG14" s="92">
        <f t="shared" si="1"/>
        <v>0</v>
      </c>
      <c r="AH14" s="92">
        <f t="shared" si="2"/>
        <v>0</v>
      </c>
      <c r="AI14" s="92">
        <f t="shared" si="3"/>
        <v>0</v>
      </c>
      <c r="AJ14" s="92">
        <f t="shared" si="4"/>
        <v>0</v>
      </c>
      <c r="AK14" s="45">
        <f t="shared" si="5"/>
        <v>0</v>
      </c>
      <c r="AL14" s="42"/>
      <c r="AM14" s="43">
        <f t="shared" ref="AM14" si="12">SUM(AF13:AF17)</f>
        <v>2</v>
      </c>
      <c r="AN14" s="43">
        <f t="shared" ref="AN14" si="13">SUM(AG13:AG17)</f>
        <v>2</v>
      </c>
      <c r="AO14" s="43">
        <f t="shared" ref="AO14" si="14">SUM(AH13:AH17)</f>
        <v>1</v>
      </c>
      <c r="AP14" s="43">
        <f t="shared" ref="AP14" si="15">SUM(AI13:AI17)</f>
        <v>0</v>
      </c>
      <c r="AQ14" s="43">
        <f t="shared" ref="AQ14" si="16">SUM(AJ13:AJ17)</f>
        <v>1</v>
      </c>
      <c r="AR14" s="43">
        <f t="shared" ref="AR14" si="17">SUM(AK13:AK17)</f>
        <v>0</v>
      </c>
    </row>
    <row r="15" spans="1:44" ht="20.100000000000001" hidden="1" customHeight="1" thickBot="1" x14ac:dyDescent="0.25">
      <c r="A15" s="208"/>
      <c r="B15" s="210"/>
      <c r="C15" s="210"/>
      <c r="D15" s="210"/>
      <c r="E15" s="339"/>
      <c r="F15" s="154"/>
      <c r="G15" s="133" t="s">
        <v>49</v>
      </c>
      <c r="H15" s="134" t="s">
        <v>49</v>
      </c>
      <c r="I15" s="134" t="s">
        <v>49</v>
      </c>
      <c r="J15" s="134" t="s">
        <v>49</v>
      </c>
      <c r="K15" s="134" t="s">
        <v>49</v>
      </c>
      <c r="L15" s="134"/>
      <c r="M15" s="135"/>
      <c r="N15" s="287"/>
      <c r="O15" s="206"/>
      <c r="P15" s="206"/>
      <c r="Q15" s="212"/>
      <c r="R15" s="69">
        <f t="shared" ref="R15:W15" si="18">R14+7</f>
        <v>17</v>
      </c>
      <c r="S15" s="2">
        <f t="shared" si="18"/>
        <v>18</v>
      </c>
      <c r="T15" s="2">
        <f t="shared" si="18"/>
        <v>19</v>
      </c>
      <c r="U15" s="169">
        <f t="shared" si="18"/>
        <v>20</v>
      </c>
      <c r="V15" s="2">
        <f t="shared" si="18"/>
        <v>21</v>
      </c>
      <c r="W15" s="7">
        <f t="shared" si="18"/>
        <v>22</v>
      </c>
      <c r="X15" s="141" t="s">
        <v>80</v>
      </c>
      <c r="Y15" s="142"/>
      <c r="Z15" s="255"/>
      <c r="AA15" s="258"/>
      <c r="AB15" s="258"/>
      <c r="AC15" s="261"/>
      <c r="AD15" s="5"/>
      <c r="AE15" s="192"/>
      <c r="AF15" s="92">
        <f t="shared" si="0"/>
        <v>1</v>
      </c>
      <c r="AG15" s="92">
        <f t="shared" si="1"/>
        <v>1</v>
      </c>
      <c r="AH15" s="92">
        <f t="shared" si="2"/>
        <v>1</v>
      </c>
      <c r="AI15" s="92">
        <f t="shared" si="3"/>
        <v>0</v>
      </c>
      <c r="AJ15" s="92">
        <f t="shared" si="4"/>
        <v>1</v>
      </c>
      <c r="AK15" s="45">
        <f t="shared" si="5"/>
        <v>0</v>
      </c>
      <c r="AL15" s="42"/>
      <c r="AM15" s="43">
        <f>AM14*AM13</f>
        <v>4</v>
      </c>
      <c r="AN15" s="43">
        <f t="shared" ref="AN15:AR15" si="19">AN14*AN13</f>
        <v>4</v>
      </c>
      <c r="AO15" s="43">
        <f t="shared" si="19"/>
        <v>3</v>
      </c>
      <c r="AP15" s="43">
        <f t="shared" si="19"/>
        <v>0</v>
      </c>
      <c r="AQ15" s="43">
        <f t="shared" si="19"/>
        <v>2</v>
      </c>
      <c r="AR15" s="43">
        <f t="shared" si="19"/>
        <v>0</v>
      </c>
    </row>
    <row r="16" spans="1:44" ht="20.100000000000001" hidden="1" customHeight="1" thickBot="1" x14ac:dyDescent="0.25">
      <c r="A16" s="208"/>
      <c r="B16" s="210"/>
      <c r="C16" s="210"/>
      <c r="D16" s="210"/>
      <c r="E16" s="210"/>
      <c r="F16" s="300" t="s">
        <v>75</v>
      </c>
      <c r="G16" s="133">
        <v>11</v>
      </c>
      <c r="H16" s="134">
        <v>13</v>
      </c>
      <c r="I16" s="134">
        <v>13</v>
      </c>
      <c r="J16" s="134">
        <v>13</v>
      </c>
      <c r="K16" s="134">
        <v>11</v>
      </c>
      <c r="L16" s="134"/>
      <c r="M16" s="135"/>
      <c r="N16" s="287"/>
      <c r="O16" s="206"/>
      <c r="P16" s="206"/>
      <c r="Q16" s="212"/>
      <c r="R16" s="167">
        <f t="shared" ref="R16:W16" si="20">R15+7</f>
        <v>24</v>
      </c>
      <c r="S16" s="1">
        <f t="shared" si="20"/>
        <v>25</v>
      </c>
      <c r="T16" s="170">
        <f t="shared" si="20"/>
        <v>26</v>
      </c>
      <c r="U16" s="170">
        <f t="shared" si="20"/>
        <v>27</v>
      </c>
      <c r="V16" s="170">
        <f t="shared" si="20"/>
        <v>28</v>
      </c>
      <c r="W16" s="7">
        <f t="shared" si="20"/>
        <v>29</v>
      </c>
      <c r="X16" s="141" t="s">
        <v>81</v>
      </c>
      <c r="Y16" s="142"/>
      <c r="Z16" s="255"/>
      <c r="AA16" s="258"/>
      <c r="AB16" s="258"/>
      <c r="AC16" s="261"/>
      <c r="AD16" s="5"/>
      <c r="AE16" s="192"/>
      <c r="AF16" s="92">
        <f t="shared" si="0"/>
        <v>1</v>
      </c>
      <c r="AG16" s="92">
        <f t="shared" si="1"/>
        <v>1</v>
      </c>
      <c r="AH16" s="92">
        <f t="shared" si="2"/>
        <v>0</v>
      </c>
      <c r="AI16" s="92">
        <f t="shared" si="3"/>
        <v>0</v>
      </c>
      <c r="AJ16" s="92">
        <f t="shared" si="4"/>
        <v>0</v>
      </c>
      <c r="AK16" s="45">
        <f t="shared" si="5"/>
        <v>0</v>
      </c>
      <c r="AL16" s="42"/>
      <c r="AM16" s="43"/>
      <c r="AN16" s="43"/>
      <c r="AO16" s="46">
        <f>SUM(AM15:AR15)</f>
        <v>13</v>
      </c>
      <c r="AP16" s="43"/>
      <c r="AQ16" s="43"/>
      <c r="AR16" s="43"/>
    </row>
    <row r="17" spans="1:44" ht="20.100000000000001" hidden="1" customHeight="1" thickBot="1" x14ac:dyDescent="0.25">
      <c r="A17" s="208"/>
      <c r="B17" s="210"/>
      <c r="C17" s="210"/>
      <c r="D17" s="210"/>
      <c r="E17" s="210"/>
      <c r="F17" s="300"/>
      <c r="G17" s="136"/>
      <c r="H17" s="137"/>
      <c r="I17" s="137"/>
      <c r="J17" s="137"/>
      <c r="K17" s="137"/>
      <c r="L17" s="136"/>
      <c r="M17" s="138"/>
      <c r="N17" s="287"/>
      <c r="O17" s="206"/>
      <c r="P17" s="206"/>
      <c r="Q17" s="212"/>
      <c r="R17" s="164">
        <f t="shared" ref="R17" si="21">R16+7</f>
        <v>31</v>
      </c>
      <c r="S17" s="166"/>
      <c r="T17" s="166"/>
      <c r="U17" s="166"/>
      <c r="V17" s="166"/>
      <c r="W17" s="162"/>
      <c r="X17" s="143" t="s">
        <v>82</v>
      </c>
      <c r="Y17" s="144"/>
      <c r="Z17" s="256"/>
      <c r="AA17" s="259"/>
      <c r="AB17" s="259"/>
      <c r="AC17" s="262"/>
      <c r="AD17" s="5"/>
      <c r="AE17" s="193"/>
      <c r="AF17" s="47">
        <f t="shared" si="0"/>
        <v>0</v>
      </c>
      <c r="AG17" s="47">
        <f t="shared" si="1"/>
        <v>0</v>
      </c>
      <c r="AH17" s="47">
        <f t="shared" si="2"/>
        <v>0</v>
      </c>
      <c r="AI17" s="47">
        <f t="shared" si="3"/>
        <v>0</v>
      </c>
      <c r="AJ17" s="47">
        <f t="shared" si="4"/>
        <v>0</v>
      </c>
      <c r="AK17" s="48">
        <f t="shared" si="5"/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hidden="1" customHeight="1" thickBot="1" x14ac:dyDescent="0.25">
      <c r="A18" s="293">
        <v>1180879</v>
      </c>
      <c r="B18" s="297" t="s">
        <v>72</v>
      </c>
      <c r="C18" s="297" t="s">
        <v>97</v>
      </c>
      <c r="D18" s="297">
        <v>3</v>
      </c>
      <c r="E18" s="340" t="s">
        <v>91</v>
      </c>
      <c r="F18" s="196" t="s">
        <v>92</v>
      </c>
      <c r="G18" s="123"/>
      <c r="H18" s="13"/>
      <c r="I18" s="13"/>
      <c r="J18" s="13"/>
      <c r="K18" s="13"/>
      <c r="L18" s="13"/>
      <c r="M18" s="14"/>
      <c r="N18" s="282">
        <v>160</v>
      </c>
      <c r="O18" s="284">
        <v>0</v>
      </c>
      <c r="P18" s="284">
        <v>18</v>
      </c>
      <c r="Q18" s="306">
        <f t="shared" ref="Q18" si="22">P18+O18</f>
        <v>18</v>
      </c>
      <c r="R18" s="160">
        <v>3</v>
      </c>
      <c r="S18" s="161">
        <v>4</v>
      </c>
      <c r="T18" s="161">
        <v>5</v>
      </c>
      <c r="U18" s="161">
        <v>6</v>
      </c>
      <c r="V18" s="161">
        <v>7</v>
      </c>
      <c r="W18" s="8">
        <v>8</v>
      </c>
      <c r="X18" s="70" t="s">
        <v>98</v>
      </c>
      <c r="Y18" s="95"/>
      <c r="Z18" s="263">
        <v>6640214</v>
      </c>
      <c r="AA18" s="266" t="s">
        <v>102</v>
      </c>
      <c r="AB18" s="266" t="s">
        <v>102</v>
      </c>
      <c r="AC18" s="269"/>
      <c r="AD18" s="5"/>
      <c r="AE18" s="191">
        <f>AO21</f>
        <v>18</v>
      </c>
      <c r="AF18" s="40">
        <f t="shared" ref="AF18:AF22" si="23">CountCcolor(R18,ColorRef)</f>
        <v>0</v>
      </c>
      <c r="AG18" s="40">
        <f t="shared" ref="AG18:AG22" si="24">CountCcolor(S18,ColorRef)</f>
        <v>0</v>
      </c>
      <c r="AH18" s="40">
        <f t="shared" ref="AH18:AH22" si="25">CountCcolor(T18,ColorRef)</f>
        <v>0</v>
      </c>
      <c r="AI18" s="40">
        <f t="shared" ref="AI18:AI22" si="26">CountCcolor(U18,ColorRef)</f>
        <v>0</v>
      </c>
      <c r="AJ18" s="40">
        <f t="shared" ref="AJ18:AJ22" si="27">CountCcolor(V18,ColorRef)</f>
        <v>0</v>
      </c>
      <c r="AK18" s="41">
        <f t="shared" ref="AK18:AK22" si="28">CountCcolor(W18,ColorRef)</f>
        <v>0</v>
      </c>
      <c r="AL18" s="42"/>
      <c r="AM18" s="43">
        <f>G21-G19</f>
        <v>2</v>
      </c>
      <c r="AN18" s="43">
        <f t="shared" ref="AN18" si="29">H21-H19</f>
        <v>2</v>
      </c>
      <c r="AO18" s="43">
        <f t="shared" ref="AO18" si="30">I21-I19</f>
        <v>1</v>
      </c>
      <c r="AP18" s="43">
        <f t="shared" ref="AP18" si="31">J21-J19</f>
        <v>2</v>
      </c>
      <c r="AQ18" s="43">
        <f t="shared" ref="AQ18" si="32">K21-K19</f>
        <v>2</v>
      </c>
      <c r="AR18" s="43">
        <f t="shared" ref="AR18" si="33">L21-L19</f>
        <v>0</v>
      </c>
    </row>
    <row r="19" spans="1:44" ht="20.100000000000001" hidden="1" customHeight="1" thickBot="1" x14ac:dyDescent="0.25">
      <c r="A19" s="294"/>
      <c r="B19" s="285"/>
      <c r="C19" s="285"/>
      <c r="D19" s="285"/>
      <c r="E19" s="307"/>
      <c r="F19" s="197"/>
      <c r="G19" s="124">
        <v>11</v>
      </c>
      <c r="H19" s="15">
        <v>9</v>
      </c>
      <c r="I19" s="15">
        <v>9</v>
      </c>
      <c r="J19" s="15">
        <v>9</v>
      </c>
      <c r="K19" s="15">
        <v>11</v>
      </c>
      <c r="L19" s="15"/>
      <c r="M19" s="16"/>
      <c r="N19" s="283"/>
      <c r="O19" s="285"/>
      <c r="P19" s="285"/>
      <c r="Q19" s="307"/>
      <c r="R19" s="163">
        <f>W18+2</f>
        <v>10</v>
      </c>
      <c r="S19" s="170">
        <f>R19+1</f>
        <v>11</v>
      </c>
      <c r="T19" s="170">
        <f t="shared" ref="T19:W19" si="34">T18+7</f>
        <v>12</v>
      </c>
      <c r="U19" s="170">
        <f t="shared" si="34"/>
        <v>13</v>
      </c>
      <c r="V19" s="170">
        <f t="shared" si="34"/>
        <v>14</v>
      </c>
      <c r="W19" s="7">
        <f t="shared" si="34"/>
        <v>15</v>
      </c>
      <c r="X19" s="71" t="s">
        <v>99</v>
      </c>
      <c r="Y19" s="96"/>
      <c r="Z19" s="264"/>
      <c r="AA19" s="267"/>
      <c r="AB19" s="267"/>
      <c r="AC19" s="270"/>
      <c r="AD19" s="5"/>
      <c r="AE19" s="192"/>
      <c r="AF19" s="92">
        <f t="shared" si="23"/>
        <v>0</v>
      </c>
      <c r="AG19" s="44">
        <f t="shared" si="24"/>
        <v>0</v>
      </c>
      <c r="AH19" s="44">
        <f t="shared" si="25"/>
        <v>0</v>
      </c>
      <c r="AI19" s="44">
        <f t="shared" si="26"/>
        <v>0</v>
      </c>
      <c r="AJ19" s="44">
        <f t="shared" si="27"/>
        <v>0</v>
      </c>
      <c r="AK19" s="45">
        <f t="shared" si="28"/>
        <v>0</v>
      </c>
      <c r="AL19" s="42"/>
      <c r="AM19" s="43">
        <f t="shared" ref="AM19:AR19" si="35">SUM(AF18:AF22)</f>
        <v>3</v>
      </c>
      <c r="AN19" s="43">
        <f t="shared" si="35"/>
        <v>2</v>
      </c>
      <c r="AO19" s="43">
        <f t="shared" si="35"/>
        <v>2</v>
      </c>
      <c r="AP19" s="43">
        <f t="shared" si="35"/>
        <v>1</v>
      </c>
      <c r="AQ19" s="43">
        <f t="shared" si="35"/>
        <v>2</v>
      </c>
      <c r="AR19" s="43">
        <f t="shared" si="35"/>
        <v>0</v>
      </c>
    </row>
    <row r="20" spans="1:44" ht="20.100000000000001" hidden="1" customHeight="1" thickBot="1" x14ac:dyDescent="0.25">
      <c r="A20" s="294"/>
      <c r="B20" s="285"/>
      <c r="C20" s="285"/>
      <c r="D20" s="285"/>
      <c r="E20" s="307"/>
      <c r="F20" s="197"/>
      <c r="G20" s="124" t="s">
        <v>49</v>
      </c>
      <c r="H20" s="15" t="s">
        <v>49</v>
      </c>
      <c r="I20" s="15" t="s">
        <v>49</v>
      </c>
      <c r="J20" s="15" t="s">
        <v>49</v>
      </c>
      <c r="K20" s="15" t="s">
        <v>49</v>
      </c>
      <c r="L20" s="15"/>
      <c r="M20" s="16"/>
      <c r="N20" s="283"/>
      <c r="O20" s="285"/>
      <c r="P20" s="285"/>
      <c r="Q20" s="307"/>
      <c r="R20" s="69">
        <f t="shared" ref="R20:W20" si="36">R19+7</f>
        <v>17</v>
      </c>
      <c r="S20" s="2">
        <f t="shared" si="36"/>
        <v>18</v>
      </c>
      <c r="T20" s="2">
        <f t="shared" si="36"/>
        <v>19</v>
      </c>
      <c r="U20" s="169">
        <f t="shared" si="36"/>
        <v>20</v>
      </c>
      <c r="V20" s="2">
        <f t="shared" si="36"/>
        <v>21</v>
      </c>
      <c r="W20" s="7">
        <f t="shared" si="36"/>
        <v>22</v>
      </c>
      <c r="X20" s="71" t="s">
        <v>100</v>
      </c>
      <c r="Y20" s="96"/>
      <c r="Z20" s="264"/>
      <c r="AA20" s="267"/>
      <c r="AB20" s="267"/>
      <c r="AC20" s="270"/>
      <c r="AD20" s="5"/>
      <c r="AE20" s="192"/>
      <c r="AF20" s="92">
        <f t="shared" si="23"/>
        <v>1</v>
      </c>
      <c r="AG20" s="44">
        <f t="shared" si="24"/>
        <v>1</v>
      </c>
      <c r="AH20" s="44">
        <f t="shared" si="25"/>
        <v>1</v>
      </c>
      <c r="AI20" s="44">
        <f t="shared" si="26"/>
        <v>0</v>
      </c>
      <c r="AJ20" s="44">
        <f t="shared" si="27"/>
        <v>1</v>
      </c>
      <c r="AK20" s="45">
        <f t="shared" si="28"/>
        <v>0</v>
      </c>
      <c r="AL20" s="42"/>
      <c r="AM20" s="43">
        <f>AM19*AM18</f>
        <v>6</v>
      </c>
      <c r="AN20" s="43">
        <f t="shared" ref="AN20" si="37">AN19*AN18</f>
        <v>4</v>
      </c>
      <c r="AO20" s="43">
        <f t="shared" ref="AO20" si="38">AO19*AO18</f>
        <v>2</v>
      </c>
      <c r="AP20" s="43">
        <f t="shared" ref="AP20" si="39">AP19*AP18</f>
        <v>2</v>
      </c>
      <c r="AQ20" s="43">
        <f t="shared" ref="AQ20" si="40">AQ19*AQ18</f>
        <v>4</v>
      </c>
      <c r="AR20" s="43">
        <f t="shared" ref="AR20" si="41">AR19*AR18</f>
        <v>0</v>
      </c>
    </row>
    <row r="21" spans="1:44" ht="20.100000000000001" hidden="1" customHeight="1" thickBot="1" x14ac:dyDescent="0.25">
      <c r="A21" s="294"/>
      <c r="B21" s="285"/>
      <c r="C21" s="285"/>
      <c r="D21" s="285"/>
      <c r="E21" s="307"/>
      <c r="F21" s="197"/>
      <c r="G21" s="124">
        <v>13</v>
      </c>
      <c r="H21" s="15">
        <v>11</v>
      </c>
      <c r="I21" s="15">
        <v>10</v>
      </c>
      <c r="J21" s="15">
        <v>11</v>
      </c>
      <c r="K21" s="15">
        <v>13</v>
      </c>
      <c r="L21" s="15"/>
      <c r="M21" s="16"/>
      <c r="N21" s="283"/>
      <c r="O21" s="285"/>
      <c r="P21" s="285"/>
      <c r="Q21" s="307"/>
      <c r="R21" s="167">
        <f t="shared" ref="R21:W21" si="42">R20+7</f>
        <v>24</v>
      </c>
      <c r="S21" s="1">
        <f t="shared" si="42"/>
        <v>25</v>
      </c>
      <c r="T21" s="1">
        <f t="shared" si="42"/>
        <v>26</v>
      </c>
      <c r="U21" s="1">
        <f t="shared" si="42"/>
        <v>27</v>
      </c>
      <c r="V21" s="1">
        <f t="shared" si="42"/>
        <v>28</v>
      </c>
      <c r="W21" s="7">
        <f t="shared" si="42"/>
        <v>29</v>
      </c>
      <c r="X21" s="71"/>
      <c r="Y21" s="96"/>
      <c r="Z21" s="264"/>
      <c r="AA21" s="267"/>
      <c r="AB21" s="267"/>
      <c r="AC21" s="270"/>
      <c r="AD21" s="5"/>
      <c r="AE21" s="192"/>
      <c r="AF21" s="92">
        <f t="shared" si="23"/>
        <v>1</v>
      </c>
      <c r="AG21" s="44">
        <f t="shared" si="24"/>
        <v>1</v>
      </c>
      <c r="AH21" s="44">
        <f t="shared" si="25"/>
        <v>1</v>
      </c>
      <c r="AI21" s="44">
        <f t="shared" si="26"/>
        <v>1</v>
      </c>
      <c r="AJ21" s="44">
        <f t="shared" si="27"/>
        <v>1</v>
      </c>
      <c r="AK21" s="45">
        <f t="shared" si="28"/>
        <v>0</v>
      </c>
      <c r="AL21" s="42"/>
      <c r="AM21" s="43"/>
      <c r="AN21" s="43"/>
      <c r="AO21" s="46">
        <f>SUM(AM20:AR20)</f>
        <v>18</v>
      </c>
      <c r="AP21" s="43"/>
      <c r="AQ21" s="43"/>
      <c r="AR21" s="43"/>
    </row>
    <row r="22" spans="1:44" ht="20.100000000000001" hidden="1" customHeight="1" thickBot="1" x14ac:dyDescent="0.25">
      <c r="A22" s="295"/>
      <c r="B22" s="298"/>
      <c r="C22" s="298"/>
      <c r="D22" s="298"/>
      <c r="E22" s="341"/>
      <c r="F22" s="198"/>
      <c r="G22" s="156"/>
      <c r="H22" s="157"/>
      <c r="I22" s="157"/>
      <c r="J22" s="157"/>
      <c r="K22" s="157"/>
      <c r="L22" s="156"/>
      <c r="M22" s="158"/>
      <c r="N22" s="283"/>
      <c r="O22" s="285"/>
      <c r="P22" s="285"/>
      <c r="Q22" s="307"/>
      <c r="R22" s="168">
        <f t="shared" ref="R22" si="43">R21+7</f>
        <v>31</v>
      </c>
      <c r="S22" s="166"/>
      <c r="T22" s="166"/>
      <c r="U22" s="166"/>
      <c r="V22" s="166"/>
      <c r="W22" s="162"/>
      <c r="X22" s="72"/>
      <c r="Y22" s="97"/>
      <c r="Z22" s="265"/>
      <c r="AA22" s="268"/>
      <c r="AB22" s="268"/>
      <c r="AC22" s="271"/>
      <c r="AD22" s="5"/>
      <c r="AE22" s="193"/>
      <c r="AF22" s="47">
        <f t="shared" si="23"/>
        <v>1</v>
      </c>
      <c r="AG22" s="47">
        <f t="shared" si="24"/>
        <v>0</v>
      </c>
      <c r="AH22" s="47">
        <f t="shared" si="25"/>
        <v>0</v>
      </c>
      <c r="AI22" s="47">
        <f t="shared" si="26"/>
        <v>0</v>
      </c>
      <c r="AJ22" s="47">
        <f t="shared" si="27"/>
        <v>0</v>
      </c>
      <c r="AK22" s="48">
        <f t="shared" si="28"/>
        <v>0</v>
      </c>
      <c r="AL22" s="42"/>
      <c r="AM22" s="43"/>
      <c r="AN22" s="43"/>
      <c r="AO22" s="43"/>
      <c r="AP22" s="43"/>
      <c r="AQ22" s="43"/>
      <c r="AR22" s="43"/>
    </row>
    <row r="23" spans="1:44" ht="20.100000000000001" hidden="1" customHeight="1" thickBot="1" x14ac:dyDescent="0.25">
      <c r="A23" s="289">
        <v>1094167</v>
      </c>
      <c r="B23" s="272" t="s">
        <v>72</v>
      </c>
      <c r="C23" s="272" t="s">
        <v>84</v>
      </c>
      <c r="D23" s="272">
        <v>6</v>
      </c>
      <c r="E23" s="272" t="s">
        <v>73</v>
      </c>
      <c r="F23" s="346" t="s">
        <v>76</v>
      </c>
      <c r="G23" s="125"/>
      <c r="H23" s="73"/>
      <c r="I23" s="73"/>
      <c r="J23" s="73"/>
      <c r="K23" s="73"/>
      <c r="L23" s="73"/>
      <c r="M23" s="74"/>
      <c r="N23" s="308">
        <v>160</v>
      </c>
      <c r="O23" s="308">
        <v>123</v>
      </c>
      <c r="P23" s="308">
        <v>12</v>
      </c>
      <c r="Q23" s="309">
        <f>P23+O23</f>
        <v>135</v>
      </c>
      <c r="R23" s="160">
        <v>3</v>
      </c>
      <c r="S23" s="161">
        <v>4</v>
      </c>
      <c r="T23" s="161">
        <v>5</v>
      </c>
      <c r="U23" s="161">
        <v>6</v>
      </c>
      <c r="V23" s="161">
        <v>7</v>
      </c>
      <c r="W23" s="8">
        <v>8</v>
      </c>
      <c r="X23" s="79" t="s">
        <v>85</v>
      </c>
      <c r="Y23" s="98" t="s">
        <v>90</v>
      </c>
      <c r="Z23" s="263">
        <v>6640229</v>
      </c>
      <c r="AA23" s="225" t="s">
        <v>102</v>
      </c>
      <c r="AB23" s="225" t="s">
        <v>102</v>
      </c>
      <c r="AC23" s="228"/>
      <c r="AD23" s="5"/>
      <c r="AE23" s="191">
        <f>AO26</f>
        <v>12</v>
      </c>
      <c r="AF23" s="40">
        <f t="shared" ref="AF23:AF27" si="44">CountCcolor(R23,ColorRef)</f>
        <v>0</v>
      </c>
      <c r="AG23" s="40">
        <f t="shared" ref="AG23:AG27" si="45">CountCcolor(S23,ColorRef)</f>
        <v>0</v>
      </c>
      <c r="AH23" s="40">
        <f t="shared" ref="AH23:AH27" si="46">CountCcolor(T23,ColorRef)</f>
        <v>0</v>
      </c>
      <c r="AI23" s="40">
        <f t="shared" ref="AI23:AI27" si="47">CountCcolor(U23,ColorRef)</f>
        <v>0</v>
      </c>
      <c r="AJ23" s="40">
        <f t="shared" ref="AJ23:AJ27" si="48">CountCcolor(V23,ColorRef)</f>
        <v>0</v>
      </c>
      <c r="AK23" s="41">
        <f t="shared" ref="AK23:AK27" si="49">CountCcolor(W23,ColorRef)</f>
        <v>0</v>
      </c>
      <c r="AL23" s="42"/>
      <c r="AM23" s="43">
        <f>G26-G24</f>
        <v>0</v>
      </c>
      <c r="AN23" s="43">
        <f t="shared" ref="AN23" si="50">H26-H24</f>
        <v>3</v>
      </c>
      <c r="AO23" s="43">
        <f t="shared" ref="AO23" si="51">I26-I24</f>
        <v>3</v>
      </c>
      <c r="AP23" s="43">
        <f t="shared" ref="AP23" si="52">J26-J24</f>
        <v>3</v>
      </c>
      <c r="AQ23" s="43">
        <f t="shared" ref="AQ23" si="53">K26-K24</f>
        <v>3</v>
      </c>
      <c r="AR23" s="43">
        <f t="shared" ref="AR23" si="54">L26-L24</f>
        <v>0</v>
      </c>
    </row>
    <row r="24" spans="1:44" ht="20.100000000000001" hidden="1" customHeight="1" thickBot="1" x14ac:dyDescent="0.25">
      <c r="A24" s="290"/>
      <c r="B24" s="273"/>
      <c r="C24" s="273"/>
      <c r="D24" s="273"/>
      <c r="E24" s="273"/>
      <c r="F24" s="194"/>
      <c r="G24" s="126"/>
      <c r="H24" s="75">
        <v>14</v>
      </c>
      <c r="I24" s="75">
        <v>14</v>
      </c>
      <c r="J24" s="75">
        <v>14</v>
      </c>
      <c r="K24" s="75">
        <v>14</v>
      </c>
      <c r="L24" s="75"/>
      <c r="M24" s="76"/>
      <c r="N24" s="273"/>
      <c r="O24" s="273"/>
      <c r="P24" s="273"/>
      <c r="Q24" s="310"/>
      <c r="R24" s="163">
        <f>W23+2</f>
        <v>10</v>
      </c>
      <c r="S24" s="170">
        <f>R24+1</f>
        <v>11</v>
      </c>
      <c r="T24" s="170">
        <f t="shared" ref="T24:W24" si="55">T23+7</f>
        <v>12</v>
      </c>
      <c r="U24" s="170">
        <f t="shared" si="55"/>
        <v>13</v>
      </c>
      <c r="V24" s="170">
        <f t="shared" si="55"/>
        <v>14</v>
      </c>
      <c r="W24" s="7">
        <f t="shared" si="55"/>
        <v>15</v>
      </c>
      <c r="X24" s="159" t="s">
        <v>86</v>
      </c>
      <c r="Y24" s="99"/>
      <c r="Z24" s="264"/>
      <c r="AA24" s="226"/>
      <c r="AB24" s="226"/>
      <c r="AC24" s="229"/>
      <c r="AD24" s="5"/>
      <c r="AE24" s="192"/>
      <c r="AF24" s="92">
        <f t="shared" si="44"/>
        <v>0</v>
      </c>
      <c r="AG24" s="68">
        <f t="shared" si="45"/>
        <v>0</v>
      </c>
      <c r="AH24" s="68">
        <f t="shared" si="46"/>
        <v>0</v>
      </c>
      <c r="AI24" s="68">
        <f t="shared" si="47"/>
        <v>0</v>
      </c>
      <c r="AJ24" s="68">
        <f t="shared" si="48"/>
        <v>0</v>
      </c>
      <c r="AK24" s="45">
        <f t="shared" si="49"/>
        <v>0</v>
      </c>
      <c r="AL24" s="42"/>
      <c r="AM24" s="43">
        <f t="shared" ref="AM24" si="56">SUM(AF23:AF27)</f>
        <v>0</v>
      </c>
      <c r="AN24" s="43">
        <f t="shared" ref="AN24" si="57">SUM(AG23:AG27)</f>
        <v>2</v>
      </c>
      <c r="AO24" s="43">
        <f t="shared" ref="AO24" si="58">SUM(AH23:AH27)</f>
        <v>1</v>
      </c>
      <c r="AP24" s="43">
        <f t="shared" ref="AP24" si="59">SUM(AI23:AI27)</f>
        <v>0</v>
      </c>
      <c r="AQ24" s="43">
        <f t="shared" ref="AQ24" si="60">SUM(AJ23:AJ27)</f>
        <v>1</v>
      </c>
      <c r="AR24" s="43">
        <f t="shared" ref="AR24" si="61">SUM(AK23:AK27)</f>
        <v>0</v>
      </c>
    </row>
    <row r="25" spans="1:44" ht="20.100000000000001" hidden="1" customHeight="1" thickBot="1" x14ac:dyDescent="0.25">
      <c r="A25" s="290"/>
      <c r="B25" s="273"/>
      <c r="C25" s="273"/>
      <c r="D25" s="273"/>
      <c r="E25" s="273"/>
      <c r="F25" s="155"/>
      <c r="G25" s="126"/>
      <c r="H25" s="75" t="s">
        <v>49</v>
      </c>
      <c r="I25" s="75" t="s">
        <v>49</v>
      </c>
      <c r="J25" s="75" t="s">
        <v>49</v>
      </c>
      <c r="K25" s="75" t="s">
        <v>49</v>
      </c>
      <c r="L25" s="75"/>
      <c r="M25" s="76"/>
      <c r="N25" s="273"/>
      <c r="O25" s="273"/>
      <c r="P25" s="273"/>
      <c r="Q25" s="310"/>
      <c r="R25" s="163">
        <f t="shared" ref="R25:W25" si="62">R24+7</f>
        <v>17</v>
      </c>
      <c r="S25" s="2">
        <f t="shared" si="62"/>
        <v>18</v>
      </c>
      <c r="T25" s="2">
        <f t="shared" si="62"/>
        <v>19</v>
      </c>
      <c r="U25" s="169">
        <f t="shared" si="62"/>
        <v>20</v>
      </c>
      <c r="V25" s="2">
        <f t="shared" si="62"/>
        <v>21</v>
      </c>
      <c r="W25" s="7">
        <f t="shared" si="62"/>
        <v>22</v>
      </c>
      <c r="X25" s="80" t="s">
        <v>87</v>
      </c>
      <c r="Y25" s="99"/>
      <c r="Z25" s="264"/>
      <c r="AA25" s="226"/>
      <c r="AB25" s="226"/>
      <c r="AC25" s="229"/>
      <c r="AD25" s="5"/>
      <c r="AE25" s="192"/>
      <c r="AF25" s="92">
        <f t="shared" si="44"/>
        <v>0</v>
      </c>
      <c r="AG25" s="68">
        <f t="shared" si="45"/>
        <v>1</v>
      </c>
      <c r="AH25" s="68">
        <f t="shared" si="46"/>
        <v>1</v>
      </c>
      <c r="AI25" s="68">
        <f t="shared" si="47"/>
        <v>0</v>
      </c>
      <c r="AJ25" s="68">
        <f t="shared" si="48"/>
        <v>1</v>
      </c>
      <c r="AK25" s="45">
        <f t="shared" si="49"/>
        <v>0</v>
      </c>
      <c r="AL25" s="42"/>
      <c r="AM25" s="43">
        <f>AM24*AM23</f>
        <v>0</v>
      </c>
      <c r="AN25" s="43">
        <f t="shared" ref="AN25:AR25" si="63">AN24*AN23</f>
        <v>6</v>
      </c>
      <c r="AO25" s="43">
        <f t="shared" si="63"/>
        <v>3</v>
      </c>
      <c r="AP25" s="43">
        <f t="shared" si="63"/>
        <v>0</v>
      </c>
      <c r="AQ25" s="43">
        <f t="shared" si="63"/>
        <v>3</v>
      </c>
      <c r="AR25" s="43">
        <f t="shared" si="63"/>
        <v>0</v>
      </c>
    </row>
    <row r="26" spans="1:44" ht="20.100000000000001" hidden="1" customHeight="1" x14ac:dyDescent="0.2">
      <c r="A26" s="290"/>
      <c r="B26" s="273"/>
      <c r="C26" s="273"/>
      <c r="D26" s="273"/>
      <c r="E26" s="273"/>
      <c r="F26" s="194" t="s">
        <v>77</v>
      </c>
      <c r="G26" s="126"/>
      <c r="H26" s="75">
        <v>17</v>
      </c>
      <c r="I26" s="75">
        <v>17</v>
      </c>
      <c r="J26" s="75">
        <v>17</v>
      </c>
      <c r="K26" s="75">
        <v>17</v>
      </c>
      <c r="L26" s="75"/>
      <c r="M26" s="76"/>
      <c r="N26" s="273"/>
      <c r="O26" s="273"/>
      <c r="P26" s="273"/>
      <c r="Q26" s="310"/>
      <c r="R26" s="163">
        <f t="shared" ref="R26:W26" si="64">R25+7</f>
        <v>24</v>
      </c>
      <c r="S26" s="1">
        <f t="shared" si="64"/>
        <v>25</v>
      </c>
      <c r="T26" s="170">
        <f t="shared" si="64"/>
        <v>26</v>
      </c>
      <c r="U26" s="170">
        <f t="shared" si="64"/>
        <v>27</v>
      </c>
      <c r="V26" s="170">
        <f t="shared" si="64"/>
        <v>28</v>
      </c>
      <c r="W26" s="7">
        <f t="shared" si="64"/>
        <v>29</v>
      </c>
      <c r="X26" s="80" t="s">
        <v>88</v>
      </c>
      <c r="Y26" s="99"/>
      <c r="Z26" s="264"/>
      <c r="AA26" s="226"/>
      <c r="AB26" s="226"/>
      <c r="AC26" s="229"/>
      <c r="AD26" s="5"/>
      <c r="AE26" s="192"/>
      <c r="AF26" s="92">
        <f t="shared" si="44"/>
        <v>0</v>
      </c>
      <c r="AG26" s="68">
        <f t="shared" si="45"/>
        <v>1</v>
      </c>
      <c r="AH26" s="68">
        <f t="shared" si="46"/>
        <v>0</v>
      </c>
      <c r="AI26" s="68">
        <f t="shared" si="47"/>
        <v>0</v>
      </c>
      <c r="AJ26" s="68">
        <f t="shared" si="48"/>
        <v>0</v>
      </c>
      <c r="AK26" s="45">
        <f t="shared" si="49"/>
        <v>0</v>
      </c>
      <c r="AL26" s="42"/>
      <c r="AM26" s="43"/>
      <c r="AN26" s="43"/>
      <c r="AO26" s="46">
        <f>SUM(AM25:AR25)</f>
        <v>12</v>
      </c>
      <c r="AP26" s="43"/>
      <c r="AQ26" s="43"/>
      <c r="AR26" s="43"/>
    </row>
    <row r="27" spans="1:44" ht="23.25" hidden="1" customHeight="1" thickBot="1" x14ac:dyDescent="0.25">
      <c r="A27" s="291"/>
      <c r="B27" s="274"/>
      <c r="C27" s="274"/>
      <c r="D27" s="274"/>
      <c r="E27" s="274"/>
      <c r="F27" s="195"/>
      <c r="G27" s="127"/>
      <c r="H27" s="77"/>
      <c r="I27" s="77"/>
      <c r="J27" s="77"/>
      <c r="K27" s="77"/>
      <c r="L27" s="77"/>
      <c r="M27" s="78"/>
      <c r="N27" s="274"/>
      <c r="O27" s="274"/>
      <c r="P27" s="274"/>
      <c r="Q27" s="311"/>
      <c r="R27" s="164">
        <f t="shared" ref="R27" si="65">R26+7</f>
        <v>31</v>
      </c>
      <c r="S27" s="166"/>
      <c r="T27" s="166"/>
      <c r="U27" s="166"/>
      <c r="V27" s="166"/>
      <c r="W27" s="162"/>
      <c r="X27" s="81" t="s">
        <v>89</v>
      </c>
      <c r="Y27" s="100"/>
      <c r="Z27" s="265"/>
      <c r="AA27" s="227"/>
      <c r="AB27" s="227"/>
      <c r="AC27" s="230"/>
      <c r="AD27" s="5"/>
      <c r="AE27" s="193"/>
      <c r="AF27" s="47">
        <f t="shared" si="44"/>
        <v>0</v>
      </c>
      <c r="AG27" s="47">
        <f t="shared" si="45"/>
        <v>0</v>
      </c>
      <c r="AH27" s="47">
        <f t="shared" si="46"/>
        <v>0</v>
      </c>
      <c r="AI27" s="47">
        <f t="shared" si="47"/>
        <v>0</v>
      </c>
      <c r="AJ27" s="47">
        <f t="shared" si="48"/>
        <v>0</v>
      </c>
      <c r="AK27" s="48">
        <f t="shared" si="49"/>
        <v>0</v>
      </c>
      <c r="AL27" s="42"/>
      <c r="AM27" s="50"/>
      <c r="AN27" s="51"/>
      <c r="AO27" s="51"/>
      <c r="AP27" s="51"/>
      <c r="AQ27" s="51"/>
      <c r="AR27" s="52"/>
    </row>
    <row r="28" spans="1:44" ht="32.25" customHeight="1" thickBot="1" x14ac:dyDescent="0.25">
      <c r="A28" s="129"/>
      <c r="B28" s="128"/>
      <c r="C28" s="128"/>
      <c r="D28" s="128"/>
      <c r="E28" s="128"/>
      <c r="F28" s="128"/>
      <c r="G28" s="326" t="s">
        <v>51</v>
      </c>
      <c r="H28" s="327"/>
      <c r="I28" s="327"/>
      <c r="J28" s="327"/>
      <c r="K28" s="327"/>
      <c r="L28" s="327"/>
      <c r="M28" s="327"/>
      <c r="N28" s="276"/>
      <c r="O28" s="276"/>
      <c r="P28" s="53">
        <f>SUM(P13:P27)</f>
        <v>43</v>
      </c>
      <c r="Q28" s="53">
        <f>SUM(Q13:Q27)</f>
        <v>296</v>
      </c>
      <c r="R28" s="54"/>
      <c r="S28" s="54"/>
      <c r="T28" s="54"/>
      <c r="U28" s="54"/>
      <c r="V28" s="54"/>
      <c r="W28" s="55"/>
      <c r="X28" s="4"/>
      <c r="Y28" s="4"/>
      <c r="Z28" s="4"/>
      <c r="AA28" s="4"/>
      <c r="AB28" s="4"/>
      <c r="AC28" s="4"/>
      <c r="AD28" s="5"/>
      <c r="AE28" s="12"/>
      <c r="AF28" s="5"/>
      <c r="AG28" s="5"/>
      <c r="AH28" s="5"/>
      <c r="AI28" s="5"/>
      <c r="AM28" s="49"/>
      <c r="AN28" s="49"/>
      <c r="AO28" s="49"/>
      <c r="AP28" s="49"/>
    </row>
    <row r="29" spans="1:44" s="61" customFormat="1" ht="27.75" customHeight="1" thickBot="1" x14ac:dyDescent="0.35">
      <c r="A29" s="83"/>
      <c r="B29" s="84"/>
      <c r="C29" s="84"/>
      <c r="D29" s="84"/>
      <c r="E29" s="84"/>
      <c r="F29" s="84"/>
      <c r="G29" s="56"/>
      <c r="H29" s="56"/>
      <c r="I29" s="56"/>
      <c r="J29" s="56"/>
      <c r="K29" s="56"/>
      <c r="L29" s="56"/>
      <c r="M29" s="56"/>
      <c r="N29" s="56"/>
      <c r="O29" s="56"/>
      <c r="P29" s="57"/>
      <c r="Q29" s="57"/>
      <c r="R29" s="85"/>
      <c r="S29" s="85"/>
      <c r="T29" s="85"/>
      <c r="U29" s="85"/>
      <c r="V29" s="85"/>
      <c r="W29" s="86"/>
      <c r="X29" s="58"/>
      <c r="AA29" s="107"/>
      <c r="AB29" s="58"/>
      <c r="AC29" s="58"/>
      <c r="AD29" s="59"/>
      <c r="AE29" s="60"/>
      <c r="AF29" s="59"/>
      <c r="AG29" s="59"/>
      <c r="AH29" s="59"/>
      <c r="AI29" s="59"/>
      <c r="AM29" s="62"/>
      <c r="AN29" s="62"/>
      <c r="AO29" s="62"/>
      <c r="AP29" s="62"/>
      <c r="AQ29" s="63"/>
      <c r="AR29" s="63"/>
    </row>
    <row r="30" spans="1:44" ht="37.5" customHeight="1" thickBot="1" x14ac:dyDescent="0.35">
      <c r="A30" s="328" t="s">
        <v>17</v>
      </c>
      <c r="B30" s="329"/>
      <c r="C30" s="329"/>
      <c r="D30" s="330"/>
      <c r="E30" s="330"/>
      <c r="F30" s="329"/>
      <c r="G30" s="330"/>
      <c r="H30" s="330"/>
      <c r="I30" s="330"/>
      <c r="J30" s="330"/>
      <c r="K30" s="330"/>
      <c r="L30" s="330"/>
      <c r="M30" s="330"/>
      <c r="N30" s="329"/>
      <c r="O30" s="329"/>
      <c r="P30" s="329"/>
      <c r="Q30" s="329"/>
      <c r="R30" s="329"/>
      <c r="S30" s="329"/>
      <c r="T30" s="329"/>
      <c r="U30" s="329"/>
      <c r="V30" s="329"/>
      <c r="W30" s="331"/>
      <c r="AA30" s="108"/>
      <c r="AE30" s="12"/>
      <c r="AF30" s="5"/>
      <c r="AG30" s="5"/>
      <c r="AH30" s="5"/>
      <c r="AI30" s="5"/>
      <c r="AM30" s="49"/>
      <c r="AN30" s="49"/>
      <c r="AO30" s="49"/>
      <c r="AP30" s="49"/>
    </row>
    <row r="31" spans="1:44" ht="38.25" customHeight="1" x14ac:dyDescent="0.2">
      <c r="A31" s="235" t="s">
        <v>18</v>
      </c>
      <c r="B31" s="236"/>
      <c r="C31" s="237"/>
      <c r="D31" s="231" t="s">
        <v>19</v>
      </c>
      <c r="E31" s="232"/>
      <c r="F31" s="236" t="s">
        <v>20</v>
      </c>
      <c r="G31" s="231" t="s">
        <v>6</v>
      </c>
      <c r="H31" s="296"/>
      <c r="I31" s="296"/>
      <c r="J31" s="296"/>
      <c r="K31" s="296"/>
      <c r="L31" s="296"/>
      <c r="M31" s="94"/>
      <c r="N31" s="342" t="s">
        <v>41</v>
      </c>
      <c r="O31" s="203" t="s">
        <v>21</v>
      </c>
      <c r="P31" s="203" t="s">
        <v>22</v>
      </c>
      <c r="Q31" s="203" t="s">
        <v>23</v>
      </c>
      <c r="R31" s="213" t="s">
        <v>24</v>
      </c>
      <c r="S31" s="214"/>
      <c r="T31" s="214"/>
      <c r="U31" s="214"/>
      <c r="V31" s="214"/>
      <c r="W31" s="338"/>
      <c r="AA31" s="90"/>
      <c r="AB31" s="90"/>
      <c r="AC31" s="90"/>
      <c r="AE31" s="21"/>
      <c r="AF31" s="4"/>
      <c r="AG31" s="4"/>
      <c r="AH31" s="4"/>
      <c r="AI31" s="4"/>
      <c r="AM31" s="22"/>
      <c r="AN31" s="22"/>
      <c r="AO31" s="22"/>
      <c r="AP31" s="22"/>
    </row>
    <row r="32" spans="1:44" ht="17.25" customHeight="1" thickBot="1" x14ac:dyDescent="0.25">
      <c r="A32" s="233"/>
      <c r="B32" s="238"/>
      <c r="C32" s="234"/>
      <c r="D32" s="233"/>
      <c r="E32" s="234"/>
      <c r="F32" s="345"/>
      <c r="G32" s="103" t="s">
        <v>11</v>
      </c>
      <c r="H32" s="87" t="s">
        <v>12</v>
      </c>
      <c r="I32" s="87" t="s">
        <v>12</v>
      </c>
      <c r="J32" s="87" t="s">
        <v>13</v>
      </c>
      <c r="K32" s="87" t="s">
        <v>14</v>
      </c>
      <c r="L32" s="88" t="s">
        <v>15</v>
      </c>
      <c r="M32" s="89" t="s">
        <v>16</v>
      </c>
      <c r="N32" s="343"/>
      <c r="O32" s="344"/>
      <c r="P32" s="292"/>
      <c r="Q32" s="292"/>
      <c r="R32" s="87" t="s">
        <v>11</v>
      </c>
      <c r="S32" s="87" t="s">
        <v>12</v>
      </c>
      <c r="T32" s="87" t="s">
        <v>12</v>
      </c>
      <c r="U32" s="87" t="s">
        <v>13</v>
      </c>
      <c r="V32" s="87" t="s">
        <v>14</v>
      </c>
      <c r="W32" s="89" t="s">
        <v>15</v>
      </c>
      <c r="X32" s="82"/>
      <c r="AA32" s="90"/>
      <c r="AB32" s="90"/>
      <c r="AC32" s="90"/>
      <c r="AE32" s="21"/>
      <c r="AF32" s="36" t="s">
        <v>11</v>
      </c>
      <c r="AG32" s="36" t="s">
        <v>12</v>
      </c>
      <c r="AH32" s="36" t="s">
        <v>12</v>
      </c>
      <c r="AI32" s="36" t="s">
        <v>13</v>
      </c>
      <c r="AJ32" s="36" t="s">
        <v>14</v>
      </c>
      <c r="AK32" s="37" t="s">
        <v>15</v>
      </c>
      <c r="AM32" s="38" t="s">
        <v>11</v>
      </c>
      <c r="AN32" s="38" t="s">
        <v>12</v>
      </c>
      <c r="AO32" s="38" t="s">
        <v>12</v>
      </c>
      <c r="AP32" s="38" t="s">
        <v>13</v>
      </c>
      <c r="AQ32" s="38" t="s">
        <v>14</v>
      </c>
      <c r="AR32" s="39" t="s">
        <v>15</v>
      </c>
    </row>
    <row r="33" spans="1:44" ht="12" customHeight="1" thickBot="1" x14ac:dyDescent="0.25">
      <c r="A33" s="173" t="s">
        <v>93</v>
      </c>
      <c r="B33" s="174"/>
      <c r="C33" s="175"/>
      <c r="D33" s="173" t="s">
        <v>95</v>
      </c>
      <c r="E33" s="175"/>
      <c r="F33" s="173" t="s">
        <v>34</v>
      </c>
      <c r="G33" s="104"/>
      <c r="H33" s="18"/>
      <c r="I33" s="18"/>
      <c r="J33" s="18"/>
      <c r="K33" s="18"/>
      <c r="L33" s="93"/>
      <c r="M33" s="145"/>
      <c r="N33" s="182" t="s">
        <v>39</v>
      </c>
      <c r="O33" s="185">
        <v>42933</v>
      </c>
      <c r="P33" s="185">
        <v>42947</v>
      </c>
      <c r="Q33" s="188">
        <v>10</v>
      </c>
      <c r="R33" s="160">
        <v>3</v>
      </c>
      <c r="S33" s="161">
        <v>4</v>
      </c>
      <c r="T33" s="161">
        <v>5</v>
      </c>
      <c r="U33" s="161">
        <v>6</v>
      </c>
      <c r="V33" s="161">
        <v>7</v>
      </c>
      <c r="W33" s="8">
        <v>8</v>
      </c>
      <c r="X33" s="82"/>
      <c r="AA33" s="90"/>
      <c r="AB33" s="90"/>
      <c r="AC33" s="90"/>
      <c r="AE33" s="191">
        <f>AO36</f>
        <v>10</v>
      </c>
      <c r="AF33" s="40">
        <f t="shared" ref="AF33:AF47" si="66">CountCcolor(R33,ColorRef)</f>
        <v>0</v>
      </c>
      <c r="AG33" s="40">
        <f t="shared" ref="AG33:AG47" si="67">CountCcolor(S33,ColorRef)</f>
        <v>0</v>
      </c>
      <c r="AH33" s="40">
        <f t="shared" ref="AH33:AH47" si="68">CountCcolor(T33,ColorRef)</f>
        <v>0</v>
      </c>
      <c r="AI33" s="40">
        <f t="shared" ref="AI33:AI47" si="69">CountCcolor(U33,ColorRef)</f>
        <v>0</v>
      </c>
      <c r="AJ33" s="40">
        <f t="shared" ref="AJ33:AJ47" si="70">CountCcolor(V33,ColorRef)</f>
        <v>0</v>
      </c>
      <c r="AK33" s="41">
        <f t="shared" ref="AK33:AK47" si="71">CountCcolor(W33,ColorRef)</f>
        <v>0</v>
      </c>
      <c r="AL33" s="42"/>
      <c r="AM33" s="43">
        <f>G36-G34</f>
        <v>1</v>
      </c>
      <c r="AN33" s="43">
        <f t="shared" ref="AN33" si="72">H36-H34</f>
        <v>1</v>
      </c>
      <c r="AO33" s="43">
        <f t="shared" ref="AO33" si="73">I36-I34</f>
        <v>1</v>
      </c>
      <c r="AP33" s="43">
        <f t="shared" ref="AP33" si="74">J36-J34</f>
        <v>1</v>
      </c>
      <c r="AQ33" s="43">
        <f t="shared" ref="AQ33" si="75">K36-K34</f>
        <v>1</v>
      </c>
      <c r="AR33" s="43">
        <f t="shared" ref="AR33" si="76">L36-L34</f>
        <v>0</v>
      </c>
    </row>
    <row r="34" spans="1:44" ht="12" customHeight="1" thickBot="1" x14ac:dyDescent="0.25">
      <c r="A34" s="176"/>
      <c r="B34" s="177"/>
      <c r="C34" s="178"/>
      <c r="D34" s="176"/>
      <c r="E34" s="178"/>
      <c r="F34" s="176"/>
      <c r="G34" s="105">
        <v>8</v>
      </c>
      <c r="H34" s="17">
        <v>8</v>
      </c>
      <c r="I34" s="17">
        <v>8</v>
      </c>
      <c r="J34" s="17">
        <v>8</v>
      </c>
      <c r="K34" s="17">
        <v>8</v>
      </c>
      <c r="L34" s="151"/>
      <c r="M34" s="146"/>
      <c r="N34" s="183"/>
      <c r="O34" s="186"/>
      <c r="P34" s="186"/>
      <c r="Q34" s="189"/>
      <c r="R34" s="163">
        <f>W33+2</f>
        <v>10</v>
      </c>
      <c r="S34" s="170">
        <f>R34+1</f>
        <v>11</v>
      </c>
      <c r="T34" s="170">
        <f t="shared" ref="T34:W34" si="77">T33+7</f>
        <v>12</v>
      </c>
      <c r="U34" s="170">
        <f t="shared" si="77"/>
        <v>13</v>
      </c>
      <c r="V34" s="170">
        <f t="shared" si="77"/>
        <v>14</v>
      </c>
      <c r="W34" s="7">
        <f t="shared" si="77"/>
        <v>15</v>
      </c>
      <c r="X34" s="82"/>
      <c r="AA34" s="90"/>
      <c r="AB34" s="90"/>
      <c r="AC34" s="90"/>
      <c r="AE34" s="192"/>
      <c r="AF34" s="92">
        <f t="shared" si="66"/>
        <v>0</v>
      </c>
      <c r="AG34" s="44">
        <f t="shared" si="67"/>
        <v>0</v>
      </c>
      <c r="AH34" s="44">
        <f t="shared" si="68"/>
        <v>0</v>
      </c>
      <c r="AI34" s="44">
        <f t="shared" si="69"/>
        <v>0</v>
      </c>
      <c r="AJ34" s="44">
        <f t="shared" si="70"/>
        <v>0</v>
      </c>
      <c r="AK34" s="45">
        <f t="shared" si="71"/>
        <v>0</v>
      </c>
      <c r="AL34" s="42"/>
      <c r="AM34" s="43">
        <f>SUM(AF33:AF37)</f>
        <v>3</v>
      </c>
      <c r="AN34" s="43">
        <f t="shared" ref="AN34" si="78">SUM(AG33:AG37)</f>
        <v>2</v>
      </c>
      <c r="AO34" s="43">
        <f t="shared" ref="AO34" si="79">SUM(AH33:AH37)</f>
        <v>2</v>
      </c>
      <c r="AP34" s="43">
        <f t="shared" ref="AP34" si="80">SUM(AI33:AI37)</f>
        <v>1</v>
      </c>
      <c r="AQ34" s="43">
        <f t="shared" ref="AQ34" si="81">SUM(AJ33:AJ37)</f>
        <v>2</v>
      </c>
      <c r="AR34" s="43">
        <f t="shared" ref="AR34" si="82">SUM(AK33:AK37)</f>
        <v>0</v>
      </c>
    </row>
    <row r="35" spans="1:44" ht="12" customHeight="1" thickBot="1" x14ac:dyDescent="0.25">
      <c r="A35" s="176"/>
      <c r="B35" s="177"/>
      <c r="C35" s="178"/>
      <c r="D35" s="176"/>
      <c r="E35" s="178"/>
      <c r="F35" s="176"/>
      <c r="G35" s="105" t="s">
        <v>49</v>
      </c>
      <c r="H35" s="17" t="s">
        <v>49</v>
      </c>
      <c r="I35" s="17" t="s">
        <v>49</v>
      </c>
      <c r="J35" s="17" t="s">
        <v>49</v>
      </c>
      <c r="K35" s="17" t="s">
        <v>49</v>
      </c>
      <c r="L35" s="151"/>
      <c r="M35" s="146"/>
      <c r="N35" s="183"/>
      <c r="O35" s="186"/>
      <c r="P35" s="186"/>
      <c r="Q35" s="189"/>
      <c r="R35" s="69">
        <f t="shared" ref="R35:W37" si="83">R34+7</f>
        <v>17</v>
      </c>
      <c r="S35" s="172">
        <f t="shared" si="83"/>
        <v>18</v>
      </c>
      <c r="T35" s="2">
        <f t="shared" si="83"/>
        <v>19</v>
      </c>
      <c r="U35" s="169">
        <f t="shared" si="83"/>
        <v>20</v>
      </c>
      <c r="V35" s="2">
        <f t="shared" si="83"/>
        <v>21</v>
      </c>
      <c r="W35" s="7">
        <f t="shared" si="83"/>
        <v>22</v>
      </c>
      <c r="X35" s="82"/>
      <c r="Y35" s="90"/>
      <c r="Z35" s="90"/>
      <c r="AA35" s="90"/>
      <c r="AB35" s="90"/>
      <c r="AC35" s="90"/>
      <c r="AE35" s="192"/>
      <c r="AF35" s="92">
        <f t="shared" si="66"/>
        <v>1</v>
      </c>
      <c r="AG35" s="44">
        <f t="shared" si="67"/>
        <v>1</v>
      </c>
      <c r="AH35" s="44">
        <f t="shared" si="68"/>
        <v>1</v>
      </c>
      <c r="AI35" s="44">
        <f t="shared" si="69"/>
        <v>0</v>
      </c>
      <c r="AJ35" s="44">
        <f t="shared" si="70"/>
        <v>1</v>
      </c>
      <c r="AK35" s="45">
        <f t="shared" si="71"/>
        <v>0</v>
      </c>
      <c r="AL35" s="42"/>
      <c r="AM35" s="43">
        <f>AM34*AM33</f>
        <v>3</v>
      </c>
      <c r="AN35" s="43">
        <f t="shared" ref="AN35:AR35" si="84">AN34*AN33</f>
        <v>2</v>
      </c>
      <c r="AO35" s="43">
        <f t="shared" si="84"/>
        <v>2</v>
      </c>
      <c r="AP35" s="43">
        <f t="shared" si="84"/>
        <v>1</v>
      </c>
      <c r="AQ35" s="43">
        <f t="shared" si="84"/>
        <v>2</v>
      </c>
      <c r="AR35" s="43">
        <f t="shared" si="84"/>
        <v>0</v>
      </c>
    </row>
    <row r="36" spans="1:44" ht="12" customHeight="1" thickBot="1" x14ac:dyDescent="0.25">
      <c r="A36" s="176"/>
      <c r="B36" s="177"/>
      <c r="C36" s="178"/>
      <c r="D36" s="176"/>
      <c r="E36" s="178"/>
      <c r="F36" s="176"/>
      <c r="G36" s="105">
        <v>9</v>
      </c>
      <c r="H36" s="17">
        <v>9</v>
      </c>
      <c r="I36" s="17">
        <v>9</v>
      </c>
      <c r="J36" s="17">
        <v>9</v>
      </c>
      <c r="K36" s="17">
        <v>9</v>
      </c>
      <c r="L36" s="151"/>
      <c r="M36" s="146"/>
      <c r="N36" s="183"/>
      <c r="O36" s="186"/>
      <c r="P36" s="186"/>
      <c r="Q36" s="189"/>
      <c r="R36" s="167">
        <f t="shared" si="83"/>
        <v>24</v>
      </c>
      <c r="S36" s="172">
        <f t="shared" si="83"/>
        <v>25</v>
      </c>
      <c r="T36" s="1">
        <f t="shared" si="83"/>
        <v>26</v>
      </c>
      <c r="U36" s="172">
        <f t="shared" si="83"/>
        <v>27</v>
      </c>
      <c r="V36" s="1">
        <f t="shared" si="83"/>
        <v>28</v>
      </c>
      <c r="W36" s="7">
        <f t="shared" si="83"/>
        <v>29</v>
      </c>
      <c r="AE36" s="192"/>
      <c r="AF36" s="92">
        <f t="shared" si="66"/>
        <v>1</v>
      </c>
      <c r="AG36" s="44">
        <f t="shared" si="67"/>
        <v>1</v>
      </c>
      <c r="AH36" s="44">
        <f t="shared" si="68"/>
        <v>1</v>
      </c>
      <c r="AI36" s="44">
        <f t="shared" si="69"/>
        <v>1</v>
      </c>
      <c r="AJ36" s="44">
        <f t="shared" si="70"/>
        <v>1</v>
      </c>
      <c r="AK36" s="45">
        <f t="shared" si="71"/>
        <v>0</v>
      </c>
      <c r="AL36" s="42"/>
      <c r="AM36" s="43"/>
      <c r="AN36" s="43"/>
      <c r="AO36" s="46">
        <f>SUM(AM35:AR35)</f>
        <v>10</v>
      </c>
      <c r="AP36" s="43"/>
      <c r="AQ36" s="43"/>
      <c r="AR36" s="43"/>
    </row>
    <row r="37" spans="1:44" ht="13.5" thickBot="1" x14ac:dyDescent="0.25">
      <c r="A37" s="222"/>
      <c r="B37" s="223"/>
      <c r="C37" s="224"/>
      <c r="D37" s="179"/>
      <c r="E37" s="181"/>
      <c r="F37" s="179"/>
      <c r="G37" s="106"/>
      <c r="H37" s="19"/>
      <c r="I37" s="19"/>
      <c r="J37" s="19"/>
      <c r="K37" s="19"/>
      <c r="L37" s="152"/>
      <c r="M37" s="147"/>
      <c r="N37" s="184"/>
      <c r="O37" s="187"/>
      <c r="P37" s="187"/>
      <c r="Q37" s="190"/>
      <c r="R37" s="168">
        <f t="shared" si="83"/>
        <v>31</v>
      </c>
      <c r="S37" s="166"/>
      <c r="T37" s="166"/>
      <c r="U37" s="166"/>
      <c r="V37" s="166"/>
      <c r="W37" s="162"/>
      <c r="AE37" s="193"/>
      <c r="AF37" s="47">
        <f t="shared" si="66"/>
        <v>1</v>
      </c>
      <c r="AG37" s="47">
        <f t="shared" si="67"/>
        <v>0</v>
      </c>
      <c r="AH37" s="47">
        <f t="shared" si="68"/>
        <v>0</v>
      </c>
      <c r="AI37" s="47">
        <f t="shared" si="69"/>
        <v>0</v>
      </c>
      <c r="AJ37" s="47">
        <f t="shared" si="70"/>
        <v>0</v>
      </c>
      <c r="AK37" s="48">
        <f t="shared" si="71"/>
        <v>0</v>
      </c>
      <c r="AL37" s="42"/>
      <c r="AM37" s="43"/>
      <c r="AN37" s="43"/>
      <c r="AO37" s="43"/>
      <c r="AP37" s="43"/>
      <c r="AQ37" s="43"/>
      <c r="AR37" s="43"/>
    </row>
    <row r="38" spans="1:44" ht="12" customHeight="1" thickBot="1" x14ac:dyDescent="0.25">
      <c r="A38" s="173" t="s">
        <v>94</v>
      </c>
      <c r="B38" s="174"/>
      <c r="C38" s="175"/>
      <c r="D38" s="173" t="s">
        <v>96</v>
      </c>
      <c r="E38" s="175"/>
      <c r="F38" s="173" t="s">
        <v>34</v>
      </c>
      <c r="G38" s="104"/>
      <c r="H38" s="18"/>
      <c r="I38" s="18"/>
      <c r="J38" s="18"/>
      <c r="K38" s="18"/>
      <c r="L38" s="153"/>
      <c r="M38" s="148"/>
      <c r="N38" s="182" t="s">
        <v>39</v>
      </c>
      <c r="O38" s="185">
        <v>42933</v>
      </c>
      <c r="P38" s="185">
        <v>42947</v>
      </c>
      <c r="Q38" s="188">
        <v>12</v>
      </c>
      <c r="R38" s="160">
        <v>3</v>
      </c>
      <c r="S38" s="161">
        <v>4</v>
      </c>
      <c r="T38" s="161">
        <v>5</v>
      </c>
      <c r="U38" s="161">
        <v>6</v>
      </c>
      <c r="V38" s="161">
        <v>7</v>
      </c>
      <c r="W38" s="8">
        <v>8</v>
      </c>
      <c r="X38" s="82"/>
      <c r="AA38" s="90"/>
      <c r="AB38" s="90"/>
      <c r="AC38" s="90"/>
      <c r="AE38" s="191">
        <f>AO41</f>
        <v>12</v>
      </c>
      <c r="AF38" s="40">
        <f t="shared" ref="AF38:AF42" si="85">CountCcolor(R38,ColorRef)</f>
        <v>0</v>
      </c>
      <c r="AG38" s="40">
        <f t="shared" ref="AG38:AG42" si="86">CountCcolor(S38,ColorRef)</f>
        <v>0</v>
      </c>
      <c r="AH38" s="40">
        <f t="shared" ref="AH38:AH42" si="87">CountCcolor(T38,ColorRef)</f>
        <v>0</v>
      </c>
      <c r="AI38" s="40">
        <f t="shared" ref="AI38:AI42" si="88">CountCcolor(U38,ColorRef)</f>
        <v>0</v>
      </c>
      <c r="AJ38" s="40">
        <f t="shared" ref="AJ38:AJ42" si="89">CountCcolor(V38,ColorRef)</f>
        <v>0</v>
      </c>
      <c r="AK38" s="41">
        <f t="shared" ref="AK38:AK42" si="90">CountCcolor(W38,ColorRef)</f>
        <v>0</v>
      </c>
      <c r="AL38" s="42"/>
      <c r="AM38" s="43">
        <f>G41-G39</f>
        <v>1</v>
      </c>
      <c r="AN38" s="43">
        <f t="shared" ref="AN38" si="91">H41-H39</f>
        <v>1</v>
      </c>
      <c r="AO38" s="43">
        <f t="shared" ref="AO38" si="92">I41-I39</f>
        <v>1</v>
      </c>
      <c r="AP38" s="43">
        <f t="shared" ref="AP38" si="93">J41-J39</f>
        <v>1</v>
      </c>
      <c r="AQ38" s="43">
        <f t="shared" ref="AQ38" si="94">K41-K39</f>
        <v>2</v>
      </c>
      <c r="AR38" s="43">
        <f t="shared" ref="AR38" si="95">L41-L39</f>
        <v>0</v>
      </c>
    </row>
    <row r="39" spans="1:44" ht="12" customHeight="1" thickBot="1" x14ac:dyDescent="0.25">
      <c r="A39" s="176"/>
      <c r="B39" s="177"/>
      <c r="C39" s="178"/>
      <c r="D39" s="176"/>
      <c r="E39" s="178"/>
      <c r="F39" s="176"/>
      <c r="G39" s="105">
        <v>13</v>
      </c>
      <c r="H39" s="17">
        <v>17</v>
      </c>
      <c r="I39" s="17">
        <v>17</v>
      </c>
      <c r="J39" s="17">
        <v>17</v>
      </c>
      <c r="K39" s="17">
        <v>16</v>
      </c>
      <c r="L39" s="151"/>
      <c r="M39" s="149"/>
      <c r="N39" s="183"/>
      <c r="O39" s="186"/>
      <c r="P39" s="186"/>
      <c r="Q39" s="189"/>
      <c r="R39" s="163">
        <f>W38+2</f>
        <v>10</v>
      </c>
      <c r="S39" s="170">
        <f>R39+1</f>
        <v>11</v>
      </c>
      <c r="T39" s="170">
        <f t="shared" ref="T39:W39" si="96">T38+7</f>
        <v>12</v>
      </c>
      <c r="U39" s="170">
        <f t="shared" si="96"/>
        <v>13</v>
      </c>
      <c r="V39" s="170">
        <f t="shared" si="96"/>
        <v>14</v>
      </c>
      <c r="W39" s="7">
        <f t="shared" si="96"/>
        <v>15</v>
      </c>
      <c r="X39" s="82"/>
      <c r="AA39" s="90"/>
      <c r="AB39" s="90"/>
      <c r="AC39" s="90"/>
      <c r="AE39" s="192"/>
      <c r="AF39" s="165">
        <f t="shared" si="85"/>
        <v>0</v>
      </c>
      <c r="AG39" s="165">
        <f t="shared" si="86"/>
        <v>0</v>
      </c>
      <c r="AH39" s="165">
        <f t="shared" si="87"/>
        <v>0</v>
      </c>
      <c r="AI39" s="165">
        <f t="shared" si="88"/>
        <v>0</v>
      </c>
      <c r="AJ39" s="165">
        <f t="shared" si="89"/>
        <v>0</v>
      </c>
      <c r="AK39" s="45">
        <f t="shared" si="90"/>
        <v>0</v>
      </c>
      <c r="AL39" s="42"/>
      <c r="AM39" s="43">
        <f>SUM(AF38:AF42)</f>
        <v>3</v>
      </c>
      <c r="AN39" s="43">
        <f t="shared" ref="AN39" si="97">SUM(AG38:AG42)</f>
        <v>2</v>
      </c>
      <c r="AO39" s="43">
        <f t="shared" ref="AO39" si="98">SUM(AH38:AH42)</f>
        <v>2</v>
      </c>
      <c r="AP39" s="43">
        <f t="shared" ref="AP39" si="99">SUM(AI38:AI42)</f>
        <v>1</v>
      </c>
      <c r="AQ39" s="43">
        <f t="shared" ref="AQ39" si="100">SUM(AJ38:AJ42)</f>
        <v>2</v>
      </c>
      <c r="AR39" s="43">
        <f t="shared" ref="AR39" si="101">SUM(AK38:AK42)</f>
        <v>0</v>
      </c>
    </row>
    <row r="40" spans="1:44" ht="12" customHeight="1" thickBot="1" x14ac:dyDescent="0.25">
      <c r="A40" s="176"/>
      <c r="B40" s="177"/>
      <c r="C40" s="178"/>
      <c r="D40" s="176"/>
      <c r="E40" s="178"/>
      <c r="F40" s="176"/>
      <c r="G40" s="105" t="s">
        <v>49</v>
      </c>
      <c r="H40" s="17" t="s">
        <v>49</v>
      </c>
      <c r="I40" s="17" t="s">
        <v>49</v>
      </c>
      <c r="J40" s="17" t="s">
        <v>49</v>
      </c>
      <c r="K40" s="17" t="s">
        <v>49</v>
      </c>
      <c r="L40" s="151"/>
      <c r="M40" s="149"/>
      <c r="N40" s="183"/>
      <c r="O40" s="186"/>
      <c r="P40" s="186"/>
      <c r="Q40" s="189"/>
      <c r="R40" s="69">
        <f t="shared" ref="R40:W40" si="102">R39+7</f>
        <v>17</v>
      </c>
      <c r="S40" s="2">
        <f t="shared" si="102"/>
        <v>18</v>
      </c>
      <c r="T40" s="2">
        <f t="shared" si="102"/>
        <v>19</v>
      </c>
      <c r="U40" s="169">
        <f t="shared" si="102"/>
        <v>20</v>
      </c>
      <c r="V40" s="2">
        <f t="shared" si="102"/>
        <v>21</v>
      </c>
      <c r="W40" s="7">
        <f t="shared" si="102"/>
        <v>22</v>
      </c>
      <c r="X40" s="82"/>
      <c r="Y40" s="90"/>
      <c r="Z40" s="90"/>
      <c r="AA40" s="90"/>
      <c r="AB40" s="90"/>
      <c r="AC40" s="90"/>
      <c r="AE40" s="192"/>
      <c r="AF40" s="165">
        <f t="shared" si="85"/>
        <v>1</v>
      </c>
      <c r="AG40" s="165">
        <f t="shared" si="86"/>
        <v>1</v>
      </c>
      <c r="AH40" s="165">
        <f t="shared" si="87"/>
        <v>1</v>
      </c>
      <c r="AI40" s="165">
        <f t="shared" si="88"/>
        <v>0</v>
      </c>
      <c r="AJ40" s="165">
        <f t="shared" si="89"/>
        <v>1</v>
      </c>
      <c r="AK40" s="45">
        <f t="shared" si="90"/>
        <v>0</v>
      </c>
      <c r="AL40" s="42"/>
      <c r="AM40" s="43">
        <f>AM39*AM38</f>
        <v>3</v>
      </c>
      <c r="AN40" s="43">
        <f t="shared" ref="AN40:AR40" si="103">AN39*AN38</f>
        <v>2</v>
      </c>
      <c r="AO40" s="43">
        <f t="shared" si="103"/>
        <v>2</v>
      </c>
      <c r="AP40" s="43">
        <f t="shared" si="103"/>
        <v>1</v>
      </c>
      <c r="AQ40" s="43">
        <f t="shared" si="103"/>
        <v>4</v>
      </c>
      <c r="AR40" s="43">
        <f t="shared" si="103"/>
        <v>0</v>
      </c>
    </row>
    <row r="41" spans="1:44" ht="12" customHeight="1" thickBot="1" x14ac:dyDescent="0.25">
      <c r="A41" s="176"/>
      <c r="B41" s="177"/>
      <c r="C41" s="178"/>
      <c r="D41" s="176"/>
      <c r="E41" s="178"/>
      <c r="F41" s="176"/>
      <c r="G41" s="105">
        <v>14</v>
      </c>
      <c r="H41" s="17">
        <v>18</v>
      </c>
      <c r="I41" s="17">
        <v>18</v>
      </c>
      <c r="J41" s="17">
        <v>18</v>
      </c>
      <c r="K41" s="17">
        <v>18</v>
      </c>
      <c r="L41" s="151"/>
      <c r="M41" s="149"/>
      <c r="N41" s="183"/>
      <c r="O41" s="186"/>
      <c r="P41" s="186"/>
      <c r="Q41" s="189"/>
      <c r="R41" s="167">
        <f t="shared" ref="R41:W41" si="104">R40+7</f>
        <v>24</v>
      </c>
      <c r="S41" s="1">
        <f t="shared" si="104"/>
        <v>25</v>
      </c>
      <c r="T41" s="1">
        <f t="shared" si="104"/>
        <v>26</v>
      </c>
      <c r="U41" s="1">
        <f t="shared" si="104"/>
        <v>27</v>
      </c>
      <c r="V41" s="1">
        <f t="shared" si="104"/>
        <v>28</v>
      </c>
      <c r="W41" s="7">
        <f t="shared" si="104"/>
        <v>29</v>
      </c>
      <c r="AE41" s="192"/>
      <c r="AF41" s="165">
        <f t="shared" si="85"/>
        <v>1</v>
      </c>
      <c r="AG41" s="165">
        <f t="shared" si="86"/>
        <v>1</v>
      </c>
      <c r="AH41" s="165">
        <f t="shared" si="87"/>
        <v>1</v>
      </c>
      <c r="AI41" s="165">
        <f t="shared" si="88"/>
        <v>1</v>
      </c>
      <c r="AJ41" s="165">
        <f t="shared" si="89"/>
        <v>1</v>
      </c>
      <c r="AK41" s="45">
        <f t="shared" si="90"/>
        <v>0</v>
      </c>
      <c r="AL41" s="42"/>
      <c r="AM41" s="43"/>
      <c r="AN41" s="43"/>
      <c r="AO41" s="46">
        <f>SUM(AM40:AR40)</f>
        <v>12</v>
      </c>
      <c r="AP41" s="43"/>
      <c r="AQ41" s="43"/>
      <c r="AR41" s="43"/>
    </row>
    <row r="42" spans="1:44" ht="13.5" thickBot="1" x14ac:dyDescent="0.25">
      <c r="A42" s="179"/>
      <c r="B42" s="180"/>
      <c r="C42" s="181"/>
      <c r="D42" s="179"/>
      <c r="E42" s="181"/>
      <c r="F42" s="179"/>
      <c r="G42" s="106"/>
      <c r="H42" s="19"/>
      <c r="I42" s="19"/>
      <c r="J42" s="19"/>
      <c r="K42" s="19"/>
      <c r="L42" s="152"/>
      <c r="M42" s="150"/>
      <c r="N42" s="184"/>
      <c r="O42" s="187"/>
      <c r="P42" s="187"/>
      <c r="Q42" s="190"/>
      <c r="R42" s="168">
        <f t="shared" ref="R42" si="105">R41+7</f>
        <v>31</v>
      </c>
      <c r="S42" s="166"/>
      <c r="T42" s="166"/>
      <c r="U42" s="166"/>
      <c r="V42" s="166"/>
      <c r="W42" s="162"/>
      <c r="AE42" s="193"/>
      <c r="AF42" s="47">
        <f t="shared" si="85"/>
        <v>1</v>
      </c>
      <c r="AG42" s="47">
        <f t="shared" si="86"/>
        <v>0</v>
      </c>
      <c r="AH42" s="47">
        <f t="shared" si="87"/>
        <v>0</v>
      </c>
      <c r="AI42" s="47">
        <f t="shared" si="88"/>
        <v>0</v>
      </c>
      <c r="AJ42" s="47">
        <f t="shared" si="89"/>
        <v>0</v>
      </c>
      <c r="AK42" s="48">
        <f t="shared" si="90"/>
        <v>0</v>
      </c>
      <c r="AL42" s="42"/>
      <c r="AM42" s="43"/>
      <c r="AN42" s="43"/>
      <c r="AO42" s="43"/>
      <c r="AP42" s="43"/>
      <c r="AQ42" s="43"/>
      <c r="AR42" s="43"/>
    </row>
    <row r="43" spans="1:44" ht="12" customHeight="1" thickBot="1" x14ac:dyDescent="0.25">
      <c r="A43" s="173" t="s">
        <v>104</v>
      </c>
      <c r="B43" s="174"/>
      <c r="C43" s="175"/>
      <c r="D43" s="173" t="s">
        <v>105</v>
      </c>
      <c r="E43" s="175"/>
      <c r="F43" s="173" t="s">
        <v>34</v>
      </c>
      <c r="G43" s="104"/>
      <c r="H43" s="18"/>
      <c r="I43" s="18"/>
      <c r="J43" s="18"/>
      <c r="K43" s="18"/>
      <c r="L43" s="153"/>
      <c r="M43" s="148"/>
      <c r="N43" s="182" t="s">
        <v>39</v>
      </c>
      <c r="O43" s="185">
        <v>42933</v>
      </c>
      <c r="P43" s="185">
        <v>42947</v>
      </c>
      <c r="Q43" s="188">
        <v>20</v>
      </c>
      <c r="R43" s="160">
        <v>3</v>
      </c>
      <c r="S43" s="161">
        <v>4</v>
      </c>
      <c r="T43" s="161">
        <v>5</v>
      </c>
      <c r="U43" s="161">
        <v>6</v>
      </c>
      <c r="V43" s="161">
        <v>7</v>
      </c>
      <c r="W43" s="8">
        <v>8</v>
      </c>
      <c r="X43" s="82"/>
      <c r="AA43" s="90"/>
      <c r="AB43" s="90"/>
      <c r="AC43" s="90"/>
      <c r="AE43" s="191">
        <f>AO46</f>
        <v>20</v>
      </c>
      <c r="AF43" s="40">
        <f t="shared" si="66"/>
        <v>0</v>
      </c>
      <c r="AG43" s="40">
        <f t="shared" si="67"/>
        <v>0</v>
      </c>
      <c r="AH43" s="40">
        <f t="shared" si="68"/>
        <v>0</v>
      </c>
      <c r="AI43" s="40">
        <f t="shared" si="69"/>
        <v>0</v>
      </c>
      <c r="AJ43" s="40">
        <f t="shared" si="70"/>
        <v>0</v>
      </c>
      <c r="AK43" s="41">
        <f t="shared" si="71"/>
        <v>0</v>
      </c>
      <c r="AL43" s="42"/>
      <c r="AM43" s="43">
        <f>G46-G44</f>
        <v>2</v>
      </c>
      <c r="AN43" s="43">
        <f t="shared" ref="AN43" si="106">H46-H44</f>
        <v>2</v>
      </c>
      <c r="AO43" s="43">
        <f t="shared" ref="AO43" si="107">I46-I44</f>
        <v>2</v>
      </c>
      <c r="AP43" s="43">
        <f t="shared" ref="AP43" si="108">J46-J44</f>
        <v>2</v>
      </c>
      <c r="AQ43" s="43">
        <f t="shared" ref="AQ43" si="109">K46-K44</f>
        <v>2</v>
      </c>
      <c r="AR43" s="43">
        <f t="shared" ref="AR43" si="110">L46-L44</f>
        <v>0</v>
      </c>
    </row>
    <row r="44" spans="1:44" ht="12" customHeight="1" thickBot="1" x14ac:dyDescent="0.25">
      <c r="A44" s="176"/>
      <c r="B44" s="177"/>
      <c r="C44" s="178"/>
      <c r="D44" s="176"/>
      <c r="E44" s="178"/>
      <c r="F44" s="176"/>
      <c r="G44" s="105">
        <v>14</v>
      </c>
      <c r="H44" s="17">
        <v>14</v>
      </c>
      <c r="I44" s="17">
        <v>14</v>
      </c>
      <c r="J44" s="17">
        <v>14</v>
      </c>
      <c r="K44" s="17">
        <v>14</v>
      </c>
      <c r="L44" s="151"/>
      <c r="M44" s="149"/>
      <c r="N44" s="183"/>
      <c r="O44" s="186"/>
      <c r="P44" s="186"/>
      <c r="Q44" s="189"/>
      <c r="R44" s="163">
        <f>W43+2</f>
        <v>10</v>
      </c>
      <c r="S44" s="170">
        <f>R44+1</f>
        <v>11</v>
      </c>
      <c r="T44" s="170">
        <f t="shared" ref="T44:W44" si="111">T43+7</f>
        <v>12</v>
      </c>
      <c r="U44" s="170">
        <f t="shared" si="111"/>
        <v>13</v>
      </c>
      <c r="V44" s="170">
        <f t="shared" si="111"/>
        <v>14</v>
      </c>
      <c r="W44" s="7">
        <f t="shared" si="111"/>
        <v>15</v>
      </c>
      <c r="X44" s="82"/>
      <c r="AA44" s="90"/>
      <c r="AB44" s="90"/>
      <c r="AC44" s="90"/>
      <c r="AE44" s="192"/>
      <c r="AF44" s="92">
        <f t="shared" si="66"/>
        <v>0</v>
      </c>
      <c r="AG44" s="92">
        <f t="shared" si="67"/>
        <v>0</v>
      </c>
      <c r="AH44" s="92">
        <f t="shared" si="68"/>
        <v>0</v>
      </c>
      <c r="AI44" s="92">
        <f t="shared" si="69"/>
        <v>0</v>
      </c>
      <c r="AJ44" s="92">
        <f t="shared" si="70"/>
        <v>0</v>
      </c>
      <c r="AK44" s="45">
        <f t="shared" si="71"/>
        <v>0</v>
      </c>
      <c r="AL44" s="42"/>
      <c r="AM44" s="43">
        <f>SUM(AF43:AF47)</f>
        <v>3</v>
      </c>
      <c r="AN44" s="43">
        <f t="shared" ref="AN44" si="112">SUM(AG43:AG47)</f>
        <v>2</v>
      </c>
      <c r="AO44" s="43">
        <f t="shared" ref="AO44" si="113">SUM(AH43:AH47)</f>
        <v>2</v>
      </c>
      <c r="AP44" s="43">
        <f t="shared" ref="AP44" si="114">SUM(AI43:AI47)</f>
        <v>1</v>
      </c>
      <c r="AQ44" s="43">
        <f t="shared" ref="AQ44" si="115">SUM(AJ43:AJ47)</f>
        <v>2</v>
      </c>
      <c r="AR44" s="43">
        <f t="shared" ref="AR44" si="116">SUM(AK43:AK47)</f>
        <v>0</v>
      </c>
    </row>
    <row r="45" spans="1:44" ht="12" customHeight="1" thickBot="1" x14ac:dyDescent="0.25">
      <c r="A45" s="176"/>
      <c r="B45" s="177"/>
      <c r="C45" s="178"/>
      <c r="D45" s="176"/>
      <c r="E45" s="178"/>
      <c r="F45" s="176"/>
      <c r="G45" s="105" t="s">
        <v>49</v>
      </c>
      <c r="H45" s="17" t="s">
        <v>49</v>
      </c>
      <c r="I45" s="17" t="s">
        <v>49</v>
      </c>
      <c r="J45" s="17" t="s">
        <v>49</v>
      </c>
      <c r="K45" s="17" t="s">
        <v>49</v>
      </c>
      <c r="L45" s="151"/>
      <c r="M45" s="149"/>
      <c r="N45" s="183"/>
      <c r="O45" s="186"/>
      <c r="P45" s="186"/>
      <c r="Q45" s="189"/>
      <c r="R45" s="69">
        <f t="shared" ref="R45:W47" si="117">R44+7</f>
        <v>17</v>
      </c>
      <c r="S45" s="2">
        <f t="shared" si="117"/>
        <v>18</v>
      </c>
      <c r="T45" s="2">
        <f t="shared" si="117"/>
        <v>19</v>
      </c>
      <c r="U45" s="169">
        <f t="shared" si="117"/>
        <v>20</v>
      </c>
      <c r="V45" s="2">
        <f t="shared" si="117"/>
        <v>21</v>
      </c>
      <c r="W45" s="7">
        <f t="shared" si="117"/>
        <v>22</v>
      </c>
      <c r="X45" s="82"/>
      <c r="Y45" s="90"/>
      <c r="Z45" s="90"/>
      <c r="AA45" s="90"/>
      <c r="AB45" s="90"/>
      <c r="AC45" s="90"/>
      <c r="AE45" s="192"/>
      <c r="AF45" s="92">
        <f t="shared" si="66"/>
        <v>1</v>
      </c>
      <c r="AG45" s="92">
        <f t="shared" si="67"/>
        <v>1</v>
      </c>
      <c r="AH45" s="92">
        <f t="shared" si="68"/>
        <v>1</v>
      </c>
      <c r="AI45" s="92">
        <f t="shared" si="69"/>
        <v>0</v>
      </c>
      <c r="AJ45" s="92">
        <f t="shared" si="70"/>
        <v>1</v>
      </c>
      <c r="AK45" s="45">
        <f t="shared" si="71"/>
        <v>0</v>
      </c>
      <c r="AL45" s="42"/>
      <c r="AM45" s="43">
        <f>AM44*AM43</f>
        <v>6</v>
      </c>
      <c r="AN45" s="43">
        <f t="shared" ref="AN45:AR45" si="118">AN44*AN43</f>
        <v>4</v>
      </c>
      <c r="AO45" s="43">
        <f t="shared" si="118"/>
        <v>4</v>
      </c>
      <c r="AP45" s="43">
        <f t="shared" si="118"/>
        <v>2</v>
      </c>
      <c r="AQ45" s="43">
        <f t="shared" si="118"/>
        <v>4</v>
      </c>
      <c r="AR45" s="43">
        <f t="shared" si="118"/>
        <v>0</v>
      </c>
    </row>
    <row r="46" spans="1:44" ht="12" customHeight="1" thickBot="1" x14ac:dyDescent="0.25">
      <c r="A46" s="176"/>
      <c r="B46" s="177"/>
      <c r="C46" s="178"/>
      <c r="D46" s="176"/>
      <c r="E46" s="178"/>
      <c r="F46" s="176"/>
      <c r="G46" s="105">
        <v>16</v>
      </c>
      <c r="H46" s="17">
        <v>16</v>
      </c>
      <c r="I46" s="17">
        <v>16</v>
      </c>
      <c r="J46" s="17">
        <v>16</v>
      </c>
      <c r="K46" s="17">
        <v>16</v>
      </c>
      <c r="L46" s="151"/>
      <c r="M46" s="149"/>
      <c r="N46" s="183"/>
      <c r="O46" s="186"/>
      <c r="P46" s="186"/>
      <c r="Q46" s="189"/>
      <c r="R46" s="167">
        <f t="shared" si="117"/>
        <v>24</v>
      </c>
      <c r="S46" s="1">
        <f t="shared" si="117"/>
        <v>25</v>
      </c>
      <c r="T46" s="1">
        <f t="shared" si="117"/>
        <v>26</v>
      </c>
      <c r="U46" s="1">
        <f t="shared" si="117"/>
        <v>27</v>
      </c>
      <c r="V46" s="1">
        <f t="shared" si="117"/>
        <v>28</v>
      </c>
      <c r="W46" s="7">
        <f t="shared" si="117"/>
        <v>29</v>
      </c>
      <c r="AE46" s="192"/>
      <c r="AF46" s="92">
        <f t="shared" si="66"/>
        <v>1</v>
      </c>
      <c r="AG46" s="92">
        <f t="shared" si="67"/>
        <v>1</v>
      </c>
      <c r="AH46" s="92">
        <f t="shared" si="68"/>
        <v>1</v>
      </c>
      <c r="AI46" s="92">
        <f t="shared" si="69"/>
        <v>1</v>
      </c>
      <c r="AJ46" s="92">
        <f t="shared" si="70"/>
        <v>1</v>
      </c>
      <c r="AK46" s="45">
        <f t="shared" si="71"/>
        <v>0</v>
      </c>
      <c r="AL46" s="42"/>
      <c r="AM46" s="43"/>
      <c r="AN46" s="43"/>
      <c r="AO46" s="46">
        <f>SUM(AM45:AR45)</f>
        <v>20</v>
      </c>
      <c r="AP46" s="43"/>
      <c r="AQ46" s="43"/>
      <c r="AR46" s="43"/>
    </row>
    <row r="47" spans="1:44" ht="13.5" thickBot="1" x14ac:dyDescent="0.25">
      <c r="A47" s="179"/>
      <c r="B47" s="180"/>
      <c r="C47" s="181"/>
      <c r="D47" s="179"/>
      <c r="E47" s="181"/>
      <c r="F47" s="179"/>
      <c r="G47" s="106"/>
      <c r="H47" s="19"/>
      <c r="I47" s="19"/>
      <c r="J47" s="19"/>
      <c r="K47" s="19"/>
      <c r="L47" s="152"/>
      <c r="M47" s="150"/>
      <c r="N47" s="184"/>
      <c r="O47" s="187"/>
      <c r="P47" s="187"/>
      <c r="Q47" s="190"/>
      <c r="R47" s="168">
        <f t="shared" si="117"/>
        <v>31</v>
      </c>
      <c r="S47" s="166"/>
      <c r="T47" s="166"/>
      <c r="U47" s="166"/>
      <c r="V47" s="166"/>
      <c r="W47" s="162"/>
      <c r="AE47" s="193"/>
      <c r="AF47" s="47">
        <f t="shared" si="66"/>
        <v>1</v>
      </c>
      <c r="AG47" s="47">
        <f t="shared" si="67"/>
        <v>0</v>
      </c>
      <c r="AH47" s="47">
        <f t="shared" si="68"/>
        <v>0</v>
      </c>
      <c r="AI47" s="47">
        <f t="shared" si="69"/>
        <v>0</v>
      </c>
      <c r="AJ47" s="47">
        <f t="shared" si="70"/>
        <v>0</v>
      </c>
      <c r="AK47" s="48">
        <f t="shared" si="71"/>
        <v>0</v>
      </c>
      <c r="AL47" s="42"/>
      <c r="AM47" s="43"/>
      <c r="AN47" s="43"/>
      <c r="AO47" s="43"/>
      <c r="AP47" s="43"/>
      <c r="AQ47" s="43"/>
      <c r="AR47" s="43"/>
    </row>
    <row r="48" spans="1:44" ht="33.75" customHeight="1" thickBot="1" x14ac:dyDescent="0.25">
      <c r="A48" s="288"/>
      <c r="B48" s="288"/>
      <c r="C48" s="288"/>
      <c r="D48" s="288"/>
      <c r="E48" s="288"/>
      <c r="F48" s="288"/>
      <c r="G48" s="275" t="s">
        <v>33</v>
      </c>
      <c r="H48" s="276"/>
      <c r="I48" s="276"/>
      <c r="J48" s="276"/>
      <c r="K48" s="276"/>
      <c r="L48" s="276"/>
      <c r="M48" s="276"/>
      <c r="N48" s="276"/>
      <c r="O48" s="276"/>
      <c r="P48" s="277"/>
      <c r="Q48" s="53">
        <f>SUM(Q33:Q47)</f>
        <v>42</v>
      </c>
      <c r="R48" s="64"/>
      <c r="S48" s="64"/>
      <c r="T48" s="64"/>
      <c r="U48" s="64"/>
      <c r="V48" s="64"/>
      <c r="W48" s="65"/>
      <c r="X48" s="4"/>
      <c r="Y48" s="4"/>
      <c r="Z48" s="4"/>
      <c r="AA48" s="4"/>
      <c r="AB48" s="4"/>
      <c r="AC48" s="4"/>
      <c r="AD48" s="5"/>
      <c r="AE48" s="12"/>
      <c r="AF48" s="5"/>
      <c r="AG48" s="5"/>
      <c r="AH48" s="5"/>
      <c r="AI48" s="5"/>
      <c r="AM48" s="49"/>
      <c r="AN48" s="49"/>
      <c r="AO48" s="49"/>
      <c r="AP48" s="49"/>
    </row>
    <row r="49" spans="1:42" ht="32.25" customHeight="1" thickBot="1" x14ac:dyDescent="0.25">
      <c r="A49" s="5"/>
      <c r="B49" s="5"/>
      <c r="C49" s="5"/>
      <c r="E49" s="5"/>
      <c r="F49" s="5"/>
      <c r="G49" s="323" t="s">
        <v>50</v>
      </c>
      <c r="H49" s="324"/>
      <c r="I49" s="324"/>
      <c r="J49" s="324"/>
      <c r="K49" s="324"/>
      <c r="L49" s="324"/>
      <c r="M49" s="324"/>
      <c r="N49" s="324"/>
      <c r="O49" s="324"/>
      <c r="P49" s="325"/>
      <c r="Q49" s="67">
        <f>Q48+P28</f>
        <v>85</v>
      </c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22"/>
      <c r="AN49" s="22"/>
      <c r="AO49" s="22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22"/>
      <c r="AN50" s="22"/>
      <c r="AO50" s="22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22"/>
      <c r="AN51" s="22"/>
      <c r="AO51" s="22"/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4"/>
      <c r="AN53" s="4">
        <v>7</v>
      </c>
      <c r="AO53" s="5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4"/>
      <c r="AN54" s="4" t="s">
        <v>52</v>
      </c>
      <c r="AO54" s="4">
        <f>AN53*6.4</f>
        <v>44.800000000000004</v>
      </c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4"/>
      <c r="AN55" s="4" t="s">
        <v>48</v>
      </c>
      <c r="AO55" s="4">
        <f>(8.5-6.4)*AN53</f>
        <v>14.699999999999998</v>
      </c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4"/>
      <c r="AN56" s="4"/>
      <c r="AO56" s="4">
        <f>(8.5)*9</f>
        <v>76.5</v>
      </c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4"/>
      <c r="AN57" s="4"/>
      <c r="AO57" s="5">
        <f>AO56+AO55</f>
        <v>91.2</v>
      </c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4"/>
      <c r="AN58" s="4"/>
      <c r="AO58" s="5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4"/>
      <c r="AN59" s="4"/>
      <c r="AO59" s="5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4"/>
      <c r="AN60" s="4"/>
      <c r="AO60" s="5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4"/>
      <c r="AN61" s="4"/>
      <c r="AO61" s="5">
        <f>16*8.5</f>
        <v>136</v>
      </c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1"/>
      <c r="AF998" s="4"/>
      <c r="AG998" s="4"/>
      <c r="AH998" s="4"/>
      <c r="AI998" s="4"/>
      <c r="AM998" s="22"/>
      <c r="AN998" s="22"/>
      <c r="AO998" s="22"/>
      <c r="AP998" s="22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1"/>
      <c r="AF999" s="4"/>
      <c r="AG999" s="4"/>
      <c r="AH999" s="4"/>
      <c r="AI999" s="4"/>
      <c r="AM999" s="22"/>
      <c r="AN999" s="22"/>
      <c r="AO999" s="22"/>
      <c r="AP999" s="22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1"/>
      <c r="AF1000" s="4"/>
      <c r="AG1000" s="4"/>
      <c r="AH1000" s="4"/>
      <c r="AI1000" s="4"/>
      <c r="AM1000" s="22"/>
      <c r="AN1000" s="22"/>
      <c r="AO1000" s="22"/>
      <c r="AP1000" s="22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1"/>
      <c r="AF1001" s="4"/>
      <c r="AG1001" s="4"/>
      <c r="AH1001" s="4"/>
      <c r="AI1001" s="4"/>
      <c r="AM1001" s="22"/>
      <c r="AN1001" s="22"/>
      <c r="AO1001" s="22"/>
      <c r="AP1001" s="22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1"/>
      <c r="AF1002" s="4"/>
      <c r="AG1002" s="4"/>
      <c r="AH1002" s="4"/>
      <c r="AI1002" s="4"/>
      <c r="AM1002" s="22"/>
      <c r="AN1002" s="22"/>
      <c r="AO1002" s="22"/>
      <c r="AP1002" s="22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1"/>
      <c r="AF1003" s="4"/>
      <c r="AG1003" s="4"/>
      <c r="AH1003" s="4"/>
      <c r="AI1003" s="4"/>
      <c r="AM1003" s="22"/>
      <c r="AN1003" s="22"/>
      <c r="AO1003" s="22"/>
      <c r="AP1003" s="22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1"/>
      <c r="AF1004" s="4"/>
      <c r="AG1004" s="4"/>
      <c r="AH1004" s="4"/>
      <c r="AI1004" s="4"/>
      <c r="AM1004" s="22"/>
      <c r="AN1004" s="22"/>
      <c r="AO1004" s="22"/>
      <c r="AP1004" s="22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21"/>
      <c r="AF1005" s="4"/>
      <c r="AG1005" s="4"/>
      <c r="AH1005" s="4"/>
      <c r="AI1005" s="4"/>
      <c r="AM1005" s="22"/>
      <c r="AN1005" s="22"/>
      <c r="AO1005" s="22"/>
      <c r="AP1005" s="22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21"/>
      <c r="AF1006" s="4"/>
      <c r="AG1006" s="4"/>
      <c r="AH1006" s="4"/>
      <c r="AI1006" s="4"/>
      <c r="AM1006" s="22"/>
      <c r="AN1006" s="22"/>
      <c r="AO1006" s="22"/>
      <c r="AP1006" s="22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21"/>
      <c r="AF1007" s="4"/>
      <c r="AG1007" s="4"/>
      <c r="AH1007" s="4"/>
      <c r="AI1007" s="4"/>
      <c r="AM1007" s="22"/>
      <c r="AN1007" s="22"/>
      <c r="AO1007" s="22"/>
      <c r="AP1007" s="22"/>
    </row>
  </sheetData>
  <mergeCells count="119">
    <mergeCell ref="G49:P49"/>
    <mergeCell ref="G28:O28"/>
    <mergeCell ref="A30:W30"/>
    <mergeCell ref="A9:Y9"/>
    <mergeCell ref="N43:N47"/>
    <mergeCell ref="O43:O47"/>
    <mergeCell ref="P43:P47"/>
    <mergeCell ref="Q43:Q47"/>
    <mergeCell ref="X10:Y11"/>
    <mergeCell ref="P33:P37"/>
    <mergeCell ref="Q33:Q37"/>
    <mergeCell ref="O33:O37"/>
    <mergeCell ref="R31:W31"/>
    <mergeCell ref="E13:E17"/>
    <mergeCell ref="E10:E11"/>
    <mergeCell ref="E18:E22"/>
    <mergeCell ref="N33:N37"/>
    <mergeCell ref="F33:F37"/>
    <mergeCell ref="N31:N32"/>
    <mergeCell ref="O31:O32"/>
    <mergeCell ref="P31:P32"/>
    <mergeCell ref="F31:F32"/>
    <mergeCell ref="F16:F17"/>
    <mergeCell ref="F23:F24"/>
    <mergeCell ref="G4:M4"/>
    <mergeCell ref="G5:M5"/>
    <mergeCell ref="G6:M6"/>
    <mergeCell ref="N3:U3"/>
    <mergeCell ref="N4:U4"/>
    <mergeCell ref="N5:U5"/>
    <mergeCell ref="N6:U6"/>
    <mergeCell ref="Q18:Q22"/>
    <mergeCell ref="P23:P27"/>
    <mergeCell ref="Q23:Q27"/>
    <mergeCell ref="R10:W11"/>
    <mergeCell ref="Q10:Q11"/>
    <mergeCell ref="P10:P11"/>
    <mergeCell ref="N10:N11"/>
    <mergeCell ref="O10:O11"/>
    <mergeCell ref="N23:N27"/>
    <mergeCell ref="O23:O27"/>
    <mergeCell ref="V4:W6"/>
    <mergeCell ref="G48:P48"/>
    <mergeCell ref="X12:Y12"/>
    <mergeCell ref="A10:A11"/>
    <mergeCell ref="N18:N22"/>
    <mergeCell ref="O18:O22"/>
    <mergeCell ref="P18:P22"/>
    <mergeCell ref="N13:N17"/>
    <mergeCell ref="A48:F48"/>
    <mergeCell ref="A23:A27"/>
    <mergeCell ref="B23:B27"/>
    <mergeCell ref="C23:C27"/>
    <mergeCell ref="D23:D27"/>
    <mergeCell ref="Q31:Q32"/>
    <mergeCell ref="A18:A22"/>
    <mergeCell ref="G31:L31"/>
    <mergeCell ref="B18:B22"/>
    <mergeCell ref="C18:C22"/>
    <mergeCell ref="D18:D22"/>
    <mergeCell ref="F13:F14"/>
    <mergeCell ref="AE43:AE47"/>
    <mergeCell ref="A33:C37"/>
    <mergeCell ref="D33:E37"/>
    <mergeCell ref="AB23:AB27"/>
    <mergeCell ref="AC23:AC27"/>
    <mergeCell ref="D31:E32"/>
    <mergeCell ref="A31:C32"/>
    <mergeCell ref="D3:F3"/>
    <mergeCell ref="D4:F7"/>
    <mergeCell ref="Z10:AC11"/>
    <mergeCell ref="AE13:AE17"/>
    <mergeCell ref="AE18:AE22"/>
    <mergeCell ref="AE23:AE27"/>
    <mergeCell ref="AE33:AE37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Z23:Z27"/>
    <mergeCell ref="AA23:AA27"/>
    <mergeCell ref="F18:F22"/>
    <mergeCell ref="Y2:Z2"/>
    <mergeCell ref="A43:C47"/>
    <mergeCell ref="D43:E47"/>
    <mergeCell ref="F43:F47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V3:W3"/>
    <mergeCell ref="G3:M3"/>
    <mergeCell ref="A38:C42"/>
    <mergeCell ref="D38:E42"/>
    <mergeCell ref="F38:F42"/>
    <mergeCell ref="N38:N42"/>
    <mergeCell ref="O38:O42"/>
    <mergeCell ref="P38:P42"/>
    <mergeCell ref="Q38:Q42"/>
    <mergeCell ref="AE38:AE42"/>
    <mergeCell ref="F26:F27"/>
    <mergeCell ref="E23:E27"/>
  </mergeCells>
  <dataValidations count="2">
    <dataValidation type="list" allowBlank="1" showInputMessage="1" showErrorMessage="1" sqref="N33:N4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F33 F43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0">
        <v>0.33333333333333331</v>
      </c>
    </row>
    <row r="14" spans="1:4" x14ac:dyDescent="0.2">
      <c r="D14" s="9" t="e">
        <f>'RMI - Julio- 2017'!#REF!</f>
        <v>#REF!</v>
      </c>
    </row>
    <row r="15" spans="1:4" x14ac:dyDescent="0.2">
      <c r="D15" s="11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Julio- 2017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2017-07-18T00:13:27Z</dcterms:modified>
</cp:coreProperties>
</file>