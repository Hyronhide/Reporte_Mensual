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iGoogleDrive\Sistemas\Eventos\Alejandra Garzon\Agosto\"/>
    </mc:Choice>
  </mc:AlternateContent>
  <bookViews>
    <workbookView xWindow="0" yWindow="0" windowWidth="20490" windowHeight="7530"/>
  </bookViews>
  <sheets>
    <sheet name="RMI - Agosto - 2017" sheetId="2" r:id="rId1"/>
    <sheet name="Hoja1" sheetId="3" state="hidden" r:id="rId2"/>
  </sheets>
  <functionGroups builtInGroupCount="18"/>
  <definedNames>
    <definedName name="Actividad">Hoja1!$C$1:$C$2</definedName>
    <definedName name="ColorRef">'RMI - Agosto - 2017'!$AE$11</definedName>
    <definedName name="Mes">'RMI - Agosto - 2017'!$R$13:$W$17</definedName>
    <definedName name="Tipo">Hoja1!$A$1:$A$5</definedName>
    <definedName name="Tipo2">Hoja1!$A$1:$A$7</definedName>
  </definedNames>
  <calcPr calcId="162913" concurrentCalc="0"/>
  <fileRecoveryPr autoRecover="0"/>
</workbook>
</file>

<file path=xl/calcChain.xml><?xml version="1.0" encoding="utf-8"?>
<calcChain xmlns="http://schemas.openxmlformats.org/spreadsheetml/2006/main">
  <c r="AF13" i="2" l="1"/>
  <c r="AF14" i="2"/>
  <c r="AF15" i="2"/>
  <c r="AF16" i="2"/>
  <c r="AM14" i="2"/>
  <c r="AM13" i="2"/>
  <c r="AM15" i="2"/>
  <c r="AG13" i="2"/>
  <c r="AG14" i="2"/>
  <c r="AG15" i="2"/>
  <c r="AG16" i="2"/>
  <c r="AN14" i="2"/>
  <c r="AN13" i="2"/>
  <c r="AN15" i="2"/>
  <c r="AH13" i="2"/>
  <c r="AH14" i="2"/>
  <c r="AH15" i="2"/>
  <c r="AH16" i="2"/>
  <c r="AO14" i="2"/>
  <c r="AO13" i="2"/>
  <c r="AO15" i="2"/>
  <c r="AI13" i="2"/>
  <c r="AI14" i="2"/>
  <c r="AI15" i="2"/>
  <c r="AI16" i="2"/>
  <c r="AP14" i="2"/>
  <c r="AP13" i="2"/>
  <c r="AP15" i="2"/>
  <c r="AJ13" i="2"/>
  <c r="AJ14" i="2"/>
  <c r="AJ15" i="2"/>
  <c r="AJ16" i="2"/>
  <c r="AQ14" i="2"/>
  <c r="AQ13" i="2"/>
  <c r="AQ15" i="2"/>
  <c r="AK13" i="2"/>
  <c r="AK14" i="2"/>
  <c r="AK15" i="2"/>
  <c r="AK16" i="2"/>
  <c r="AR14" i="2"/>
  <c r="AR13" i="2"/>
  <c r="AR15" i="2"/>
  <c r="AO16" i="2"/>
  <c r="AE13" i="2"/>
  <c r="AE23" i="2"/>
  <c r="P13" i="2"/>
  <c r="Q13" i="2"/>
  <c r="Q29" i="2"/>
  <c r="Z6" i="2"/>
  <c r="Z5" i="2"/>
  <c r="Z7" i="2"/>
  <c r="P18" i="2"/>
  <c r="AO35" i="2"/>
  <c r="Q30" i="2"/>
  <c r="AO36" i="2"/>
  <c r="AO37" i="2"/>
  <c r="D15" i="3"/>
  <c r="AO42" i="2"/>
  <c r="AR23" i="2"/>
  <c r="AQ23" i="2"/>
  <c r="AP23" i="2"/>
  <c r="AO23" i="2"/>
  <c r="AN23" i="2"/>
  <c r="AM23" i="2"/>
  <c r="AF24" i="2"/>
  <c r="AI28" i="2"/>
  <c r="AJ23" i="2"/>
  <c r="AI24" i="2"/>
  <c r="AK26" i="2"/>
  <c r="AJ26" i="2"/>
  <c r="AF26" i="2"/>
  <c r="AI26" i="2"/>
  <c r="AI23" i="2"/>
  <c r="AK23" i="2"/>
  <c r="AH23" i="2"/>
  <c r="AF28" i="2"/>
  <c r="AK28" i="2"/>
  <c r="AH28" i="2"/>
  <c r="AF23" i="2"/>
  <c r="AJ24" i="2"/>
  <c r="AG24" i="2"/>
  <c r="AJ28" i="2"/>
  <c r="AG23" i="2"/>
  <c r="AI25" i="2"/>
  <c r="AG25" i="2"/>
  <c r="AH25" i="2"/>
  <c r="AG28" i="2"/>
  <c r="AF25" i="2"/>
  <c r="AK24" i="2"/>
  <c r="AK25" i="2"/>
  <c r="AH24" i="2"/>
  <c r="AJ25" i="2"/>
  <c r="AH26" i="2"/>
  <c r="AG26" i="2"/>
  <c r="AO24" i="2"/>
  <c r="AO25" i="2"/>
  <c r="AP24" i="2"/>
  <c r="AP25" i="2"/>
  <c r="AQ24" i="2"/>
  <c r="AQ25" i="2"/>
  <c r="AR24" i="2"/>
  <c r="AR25" i="2"/>
  <c r="AM24" i="2"/>
  <c r="AM25" i="2"/>
  <c r="AN24" i="2"/>
  <c r="AN25" i="2"/>
  <c r="AO26" i="2"/>
  <c r="D14" i="3"/>
  <c r="D16" i="3"/>
  <c r="AO38" i="2"/>
  <c r="Q18" i="2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<sst xmlns="http://schemas.openxmlformats.org/spreadsheetml/2006/main" count="126" uniqueCount="77">
  <si>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</si>
  <si>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</si>
  <si>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</si>
  <si>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</si>
  <si>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</si>
  <si>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</si>
  <si>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</si>
  <si>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</si>
  <si>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</si>
  <si>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</si>
  <si>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</si>
  <si>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</si>
  <si>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</si>
  <si>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</si>
  <si>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</si>
  <si>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</si>
  <si>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</si>
  <si>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</si>
  <si>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</si>
  <si>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</si>
  <si>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</si>
  <si>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</si>
  <si>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</si>
  <si>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</si>
  <si>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</si>
  <si>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</si>
  <si>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</si>
  <si>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</si>
  <si>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</si>
  <si>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</si>
  <si>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</si>
  <si>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</si>
  <si>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</si>
  <si>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</si>
  <si>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</si>
  <si>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</si>
  <si>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</si>
  <si>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</si>
  <si>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</si>
  <si>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</si>
  <si>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</si>
  <si>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</si>
  <si>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</si>
  <si>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</si>
  <si>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</si>
  <si>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</si>
  <si>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</si>
  <si>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</si>
  <si>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</si>
  <si>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</si>
  <si>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</si>
  <si>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</si>
  <si>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</si>
  <si>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</si>
  <si>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</si>
  <si>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</si>
  <si>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</si>
  <si>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</si>
  <si>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</si>
  <si>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</si>
  <si>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</si>
  <si>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</si>
  <si>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</si>
  <si>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</si>
  <si>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</si>
  <si>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</si>
  <si>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</si>
  <si>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</si>
  <si>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</si>
  <si>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MARIA ALEJANDRA GARZON</t>
  </si>
  <si>
    <t>agarzon@sena.edu.co</t>
  </si>
  <si>
    <t>SISTEMAS</t>
  </si>
  <si>
    <t>TODOS</t>
  </si>
  <si>
    <t>REDES</t>
  </si>
  <si>
    <t>IMPLEMENTAR LA ESTRUCTURA DE LA RED DE ACUERDO CON UN DISEÑO PREESTABLECIDO
A PARTIR DE NORMAS TÉCNICAS INTERNACIONALES.</t>
  </si>
  <si>
    <t>INSTALAR EL CABLEADO ESTRUCTURADO Y/O LA RED INALÁMBRICA DE ACUERDO CON LAS NORMAS Y
ESTÁNDARES DE CABLEADO Y SEGURIDAD VIGENTES.</t>
  </si>
  <si>
    <t>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</si>
</sst>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19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9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55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29" xfId="0" applyNumberFormat="1" applyFont="1" applyBorder="1" applyAlignment="1">
      <alignment horizontal="center" vertical="center" wrapText="1"/>
    </xf>
    <xf numFmtId="2" fontId="1" fillId="0" borderId="30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2" fontId="1" fillId="6" borderId="45" xfId="0" applyNumberFormat="1" applyFont="1" applyFill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2" fontId="1" fillId="0" borderId="0" xfId="0" applyNumberFormat="1" applyFont="1"/>
    <xf numFmtId="0" fontId="12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28" xfId="0" applyFont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3" borderId="34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6" xfId="0" applyFont="1" applyFill="1" applyBorder="1" applyAlignment="1">
      <alignment horizontal="center" vertical="center" wrapText="1"/>
    </xf>
    <xf numFmtId="0" fontId="2" fillId="7" borderId="72" xfId="0" applyFont="1" applyFill="1" applyBorder="1" applyAlignment="1">
      <alignment horizontal="center" vertical="center"/>
    </xf>
    <xf numFmtId="0" fontId="2" fillId="7" borderId="73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43" xfId="0" applyNumberFormat="1" applyFont="1" applyBorder="1" applyAlignment="1">
      <alignment horizontal="center" vertical="center"/>
    </xf>
    <xf numFmtId="0" fontId="2" fillId="7" borderId="89" xfId="0" applyFont="1" applyFill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 wrapText="1"/>
    </xf>
    <xf numFmtId="2" fontId="1" fillId="0" borderId="26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85" xfId="0" applyFont="1" applyFill="1" applyBorder="1" applyAlignment="1">
      <alignment horizontal="right" vertical="center"/>
    </xf>
    <xf numFmtId="0" fontId="14" fillId="0" borderId="61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4" fillId="0" borderId="87" xfId="0" applyFont="1" applyBorder="1" applyAlignment="1">
      <alignment horizontal="right" vertical="center"/>
    </xf>
    <xf numFmtId="0" fontId="14" fillId="6" borderId="93" xfId="0" applyFont="1" applyFill="1" applyBorder="1" applyAlignment="1">
      <alignment horizontal="right" vertical="center"/>
    </xf>
    <xf numFmtId="0" fontId="11" fillId="0" borderId="65" xfId="0" applyFont="1" applyFill="1" applyBorder="1" applyAlignment="1">
      <alignment horizontal="center" vertical="center"/>
    </xf>
    <xf numFmtId="0" fontId="11" fillId="0" borderId="62" xfId="0" applyFont="1" applyBorder="1" applyAlignment="1">
      <alignment horizontal="center" vertical="center"/>
    </xf>
    <xf numFmtId="0" fontId="11" fillId="0" borderId="88" xfId="0" applyFont="1" applyBorder="1" applyAlignment="1">
      <alignment horizontal="center" vertical="center"/>
    </xf>
    <xf numFmtId="0" fontId="17" fillId="6" borderId="94" xfId="0" applyFont="1" applyFill="1" applyBorder="1" applyAlignment="1">
      <alignment horizontal="center" vertical="center"/>
    </xf>
    <xf numFmtId="0" fontId="2" fillId="9" borderId="93" xfId="0" applyFont="1" applyFill="1" applyBorder="1" applyAlignment="1">
      <alignment horizontal="center"/>
    </xf>
    <xf numFmtId="0" fontId="2" fillId="9" borderId="95" xfId="0" applyFont="1" applyFill="1" applyBorder="1" applyAlignment="1">
      <alignment horizontal="center"/>
    </xf>
    <xf numFmtId="0" fontId="2" fillId="9" borderId="94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2" fillId="0" borderId="49" xfId="0" applyFont="1" applyBorder="1"/>
    <xf numFmtId="2" fontId="2" fillId="14" borderId="78" xfId="0" applyNumberFormat="1" applyFont="1" applyFill="1" applyBorder="1" applyAlignment="1">
      <alignment horizontal="center" vertical="center" wrapText="1"/>
    </xf>
    <xf numFmtId="2" fontId="2" fillId="14" borderId="54" xfId="0" applyNumberFormat="1" applyFont="1" applyFill="1" applyBorder="1" applyAlignment="1">
      <alignment horizontal="center" vertical="center" wrapText="1"/>
    </xf>
    <xf numFmtId="2" fontId="2" fillId="14" borderId="55" xfId="0" applyNumberFormat="1" applyFont="1" applyFill="1" applyBorder="1" applyAlignment="1">
      <alignment horizontal="center" vertical="center" wrapText="1"/>
    </xf>
    <xf numFmtId="2" fontId="2" fillId="14" borderId="38" xfId="0" applyNumberFormat="1" applyFont="1" applyFill="1" applyBorder="1" applyAlignment="1">
      <alignment horizontal="center"/>
    </xf>
    <xf numFmtId="2" fontId="2" fillId="14" borderId="52" xfId="0" applyNumberFormat="1" applyFont="1" applyFill="1" applyBorder="1" applyAlignment="1">
      <alignment horizontal="center"/>
    </xf>
    <xf numFmtId="2" fontId="2" fillId="14" borderId="57" xfId="0" applyNumberFormat="1" applyFont="1" applyFill="1" applyBorder="1" applyAlignment="1">
      <alignment horizontal="center"/>
    </xf>
    <xf numFmtId="0" fontId="1" fillId="15" borderId="80" xfId="0" applyFont="1" applyFill="1" applyBorder="1"/>
    <xf numFmtId="0" fontId="1" fillId="15" borderId="81" xfId="0" applyFont="1" applyFill="1" applyBorder="1"/>
    <xf numFmtId="0" fontId="1" fillId="15" borderId="64" xfId="0" applyFont="1" applyFill="1" applyBorder="1"/>
    <xf numFmtId="0" fontId="1" fillId="15" borderId="75" xfId="0" applyFont="1" applyFill="1" applyBorder="1"/>
    <xf numFmtId="2" fontId="2" fillId="0" borderId="90" xfId="0" applyNumberFormat="1" applyFont="1" applyBorder="1" applyAlignment="1">
      <alignment horizontal="center" vertical="center" wrapText="1"/>
    </xf>
    <xf numFmtId="2" fontId="2" fillId="0" borderId="91" xfId="0" applyNumberFormat="1" applyFont="1" applyBorder="1" applyAlignment="1">
      <alignment horizontal="center" vertical="center" wrapText="1"/>
    </xf>
    <xf numFmtId="2" fontId="2" fillId="0" borderId="92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7" xfId="0" applyNumberFormat="1" applyFont="1" applyBorder="1" applyAlignment="1">
      <alignment horizontal="center" vertical="center" wrapText="1"/>
    </xf>
    <xf numFmtId="0" fontId="1" fillId="14" borderId="62" xfId="0" applyFont="1" applyFill="1" applyBorder="1" applyAlignment="1">
      <alignment vertical="top" wrapText="1"/>
    </xf>
    <xf numFmtId="0" fontId="1" fillId="15" borderId="43" xfId="0" applyFont="1" applyFill="1" applyBorder="1"/>
    <xf numFmtId="0" fontId="1" fillId="15" borderId="44" xfId="0" applyFont="1" applyFill="1" applyBorder="1"/>
    <xf numFmtId="2" fontId="1" fillId="0" borderId="98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11" borderId="65" xfId="0" applyFont="1" applyFill="1" applyBorder="1" applyAlignment="1">
      <alignment horizontal="center" vertical="center" wrapText="1"/>
    </xf>
    <xf numFmtId="0" fontId="18" fillId="11" borderId="85" xfId="0" applyFont="1" applyFill="1" applyBorder="1" applyAlignment="1">
      <alignment horizontal="center" vertical="center" wrapText="1"/>
    </xf>
    <xf numFmtId="0" fontId="2" fillId="0" borderId="61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18" fillId="0" borderId="61" xfId="0" applyFont="1" applyFill="1" applyBorder="1" applyAlignment="1">
      <alignment horizontal="center" vertical="center" wrapText="1"/>
    </xf>
    <xf numFmtId="0" fontId="2" fillId="0" borderId="97" xfId="0" applyFont="1" applyFill="1" applyBorder="1" applyAlignment="1">
      <alignment horizontal="center" vertical="center" wrapText="1"/>
    </xf>
    <xf numFmtId="0" fontId="2" fillId="0" borderId="86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1" fillId="14" borderId="88" xfId="0" applyFont="1" applyFill="1" applyBorder="1" applyAlignment="1">
      <alignment vertical="top" wrapText="1"/>
    </xf>
    <xf numFmtId="2" fontId="2" fillId="14" borderId="48" xfId="0" applyNumberFormat="1" applyFont="1" applyFill="1" applyBorder="1" applyAlignment="1">
      <alignment horizontal="center"/>
    </xf>
    <xf numFmtId="0" fontId="2" fillId="0" borderId="87" xfId="0" applyFont="1" applyFill="1" applyBorder="1" applyAlignment="1">
      <alignment horizontal="center" vertical="center" wrapText="1"/>
    </xf>
    <xf numFmtId="0" fontId="2" fillId="0" borderId="82" xfId="0" applyFont="1" applyFill="1" applyBorder="1" applyAlignment="1">
      <alignment horizontal="center" vertical="center" wrapText="1"/>
    </xf>
    <xf numFmtId="0" fontId="2" fillId="0" borderId="96" xfId="0" applyFont="1" applyFill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0" fontId="18" fillId="0" borderId="16" xfId="0" applyFont="1" applyFill="1" applyBorder="1" applyAlignment="1">
      <alignment horizontal="center" vertical="center" wrapText="1"/>
    </xf>
    <xf numFmtId="0" fontId="2" fillId="0" borderId="62" xfId="0" applyFont="1" applyFill="1" applyBorder="1" applyAlignment="1">
      <alignment horizontal="center" vertical="center" wrapText="1"/>
    </xf>
    <xf numFmtId="0" fontId="18" fillId="0" borderId="85" xfId="0" applyFont="1" applyFill="1" applyBorder="1" applyAlignment="1">
      <alignment horizontal="center" vertical="center" wrapText="1"/>
    </xf>
    <xf numFmtId="0" fontId="18" fillId="0" borderId="86" xfId="0" applyFont="1" applyFill="1" applyBorder="1" applyAlignment="1">
      <alignment horizontal="center" vertical="center" wrapText="1"/>
    </xf>
    <xf numFmtId="0" fontId="2" fillId="0" borderId="65" xfId="0" applyFont="1" applyFill="1" applyBorder="1" applyAlignment="1">
      <alignment horizontal="center" vertical="center" wrapText="1"/>
    </xf>
    <xf numFmtId="0" fontId="18" fillId="0" borderId="63" xfId="0" applyFont="1" applyFill="1" applyBorder="1" applyAlignment="1">
      <alignment horizontal="center" vertical="center" wrapText="1"/>
    </xf>
    <xf numFmtId="0" fontId="2" fillId="10" borderId="86" xfId="0" applyFont="1" applyFill="1" applyBorder="1" applyAlignment="1">
      <alignment horizontal="center" vertical="center" wrapText="1"/>
    </xf>
    <xf numFmtId="0" fontId="17" fillId="9" borderId="32" xfId="0" applyFont="1" applyFill="1" applyBorder="1" applyAlignment="1">
      <alignment horizontal="center" vertical="center"/>
    </xf>
    <xf numFmtId="0" fontId="17" fillId="9" borderId="59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 wrapText="1"/>
    </xf>
    <xf numFmtId="0" fontId="2" fillId="12" borderId="31" xfId="0" applyFont="1" applyFill="1" applyBorder="1" applyAlignment="1">
      <alignment horizontal="center" vertical="center" wrapText="1"/>
    </xf>
    <xf numFmtId="0" fontId="2" fillId="12" borderId="46" xfId="0" applyFont="1" applyFill="1" applyBorder="1" applyAlignment="1">
      <alignment horizontal="center" vertical="center" wrapText="1"/>
    </xf>
    <xf numFmtId="0" fontId="2" fillId="12" borderId="47" xfId="0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2" fillId="12" borderId="48" xfId="0" applyFont="1" applyFill="1" applyBorder="1" applyAlignment="1">
      <alignment horizontal="center" vertical="center" wrapText="1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2" fillId="12" borderId="51" xfId="0" applyFont="1" applyFill="1" applyBorder="1" applyAlignment="1">
      <alignment horizontal="center" vertical="center" wrapText="1"/>
    </xf>
    <xf numFmtId="0" fontId="2" fillId="7" borderId="45" xfId="0" applyFont="1" applyFill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 wrapText="1"/>
    </xf>
    <xf numFmtId="0" fontId="2" fillId="7" borderId="49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7" borderId="70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1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2" fillId="3" borderId="76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7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65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1" fontId="1" fillId="0" borderId="84" xfId="0" applyNumberFormat="1" applyFont="1" applyBorder="1" applyAlignment="1">
      <alignment horizontal="center" vertical="center"/>
    </xf>
    <xf numFmtId="1" fontId="1" fillId="0" borderId="83" xfId="0" applyNumberFormat="1" applyFont="1" applyBorder="1" applyAlignment="1">
      <alignment horizontal="center" vertical="center"/>
    </xf>
    <xf numFmtId="1" fontId="1" fillId="0" borderId="42" xfId="0" applyNumberFormat="1" applyFont="1" applyBorder="1" applyAlignment="1">
      <alignment horizontal="center" vertical="center"/>
    </xf>
    <xf numFmtId="0" fontId="0" fillId="14" borderId="53" xfId="0" applyFont="1" applyFill="1" applyBorder="1" applyAlignment="1">
      <alignment horizontal="center" vertical="center"/>
    </xf>
    <xf numFmtId="0" fontId="0" fillId="14" borderId="56" xfId="0" applyFont="1" applyFill="1" applyBorder="1" applyAlignment="1">
      <alignment horizontal="center" vertical="center"/>
    </xf>
    <xf numFmtId="0" fontId="1" fillId="15" borderId="54" xfId="0" applyFont="1" applyFill="1" applyBorder="1" applyAlignment="1">
      <alignment horizontal="center" vertical="center"/>
    </xf>
    <xf numFmtId="0" fontId="1" fillId="15" borderId="52" xfId="0" applyFont="1" applyFill="1" applyBorder="1" applyAlignment="1">
      <alignment horizontal="center" vertical="center"/>
    </xf>
    <xf numFmtId="0" fontId="1" fillId="15" borderId="55" xfId="0" applyFont="1" applyFill="1" applyBorder="1" applyAlignment="1">
      <alignment horizontal="center" vertical="center"/>
    </xf>
    <xf numFmtId="0" fontId="1" fillId="15" borderId="57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4" borderId="24" xfId="0" applyFont="1" applyFill="1" applyBorder="1" applyAlignment="1">
      <alignment horizontal="center" vertical="center" wrapText="1"/>
    </xf>
    <xf numFmtId="0" fontId="1" fillId="14" borderId="15" xfId="0" applyFont="1" applyFill="1" applyBorder="1"/>
    <xf numFmtId="0" fontId="1" fillId="14" borderId="23" xfId="0" applyFont="1" applyFill="1" applyBorder="1" applyAlignment="1">
      <alignment horizontal="center" vertical="center" wrapText="1"/>
    </xf>
    <xf numFmtId="0" fontId="1" fillId="14" borderId="25" xfId="0" applyFont="1" applyFill="1" applyBorder="1"/>
    <xf numFmtId="0" fontId="1" fillId="15" borderId="24" xfId="0" applyFont="1" applyFill="1" applyBorder="1" applyAlignment="1">
      <alignment horizontal="center" vertical="center" wrapText="1"/>
    </xf>
    <xf numFmtId="0" fontId="2" fillId="14" borderId="41" xfId="0" applyFont="1" applyFill="1" applyBorder="1" applyAlignment="1">
      <alignment horizontal="center" vertical="center" wrapText="1"/>
    </xf>
    <xf numFmtId="0" fontId="1" fillId="14" borderId="4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2" fillId="7" borderId="32" xfId="0" applyFont="1" applyFill="1" applyBorder="1" applyAlignment="1">
      <alignment horizontal="right" vertical="center" wrapText="1"/>
    </xf>
    <xf numFmtId="0" fontId="2" fillId="7" borderId="33" xfId="0" applyFont="1" applyFill="1" applyBorder="1" applyAlignment="1">
      <alignment horizontal="right" vertical="center" wrapText="1"/>
    </xf>
    <xf numFmtId="0" fontId="2" fillId="7" borderId="59" xfId="0" applyFont="1" applyFill="1" applyBorder="1" applyAlignment="1">
      <alignment horizontal="right" vertical="center" wrapText="1"/>
    </xf>
    <xf numFmtId="0" fontId="1" fillId="9" borderId="60" xfId="0" applyFont="1" applyFill="1" applyBorder="1" applyAlignment="1">
      <alignment horizontal="center"/>
    </xf>
    <xf numFmtId="0" fontId="1" fillId="9" borderId="79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4" borderId="29" xfId="0" applyFont="1" applyFill="1" applyBorder="1" applyAlignment="1">
      <alignment horizontal="center" vertical="center" wrapText="1"/>
    </xf>
    <xf numFmtId="0" fontId="1" fillId="14" borderId="8" xfId="0" applyFont="1" applyFill="1" applyBorder="1"/>
    <xf numFmtId="0" fontId="2" fillId="0" borderId="0" xfId="0" applyFont="1" applyBorder="1" applyAlignment="1">
      <alignment horizontal="center"/>
    </xf>
    <xf numFmtId="0" fontId="1" fillId="6" borderId="27" xfId="0" applyFont="1" applyFill="1" applyBorder="1"/>
    <xf numFmtId="0" fontId="1" fillId="6" borderId="31" xfId="0" applyFont="1" applyFill="1" applyBorder="1"/>
    <xf numFmtId="0" fontId="1" fillId="0" borderId="16" xfId="0" applyFont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3" borderId="32" xfId="0" applyFont="1" applyFill="1" applyBorder="1" applyAlignment="1">
      <alignment horizontal="right" vertical="center" wrapText="1"/>
    </xf>
    <xf numFmtId="0" fontId="2" fillId="13" borderId="33" xfId="0" applyFont="1" applyFill="1" applyBorder="1" applyAlignment="1">
      <alignment horizontal="right" vertical="center" wrapText="1"/>
    </xf>
    <xf numFmtId="0" fontId="2" fillId="13" borderId="59" xfId="0" applyFont="1" applyFill="1" applyBorder="1" applyAlignment="1">
      <alignment horizontal="right" vertical="center" wrapText="1"/>
    </xf>
    <xf numFmtId="0" fontId="8" fillId="5" borderId="67" xfId="0" applyFont="1" applyFill="1" applyBorder="1" applyAlignment="1">
      <alignment horizontal="center" vertical="center"/>
    </xf>
    <xf numFmtId="0" fontId="8" fillId="5" borderId="68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69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45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58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1" fillId="6" borderId="71" xfId="0" applyFont="1" applyFill="1" applyBorder="1"/>
    <xf numFmtId="0" fontId="2" fillId="0" borderId="2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12" borderId="84" xfId="0" applyFont="1" applyFill="1" applyBorder="1" applyAlignment="1">
      <alignment horizontal="center" vertical="center" wrapText="1"/>
    </xf>
    <xf numFmtId="0" fontId="2" fillId="12" borderId="83" xfId="0" applyFont="1" applyFill="1" applyBorder="1" applyAlignment="1">
      <alignment horizontal="center" vertical="center" wrapText="1"/>
    </xf>
    <xf numFmtId="0" fontId="2" fillId="12" borderId="42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6" borderId="27" xfId="0" applyFont="1" applyFill="1" applyBorder="1" applyAlignment="1">
      <alignment horizontal="center"/>
    </xf>
    <xf numFmtId="0" fontId="1" fillId="6" borderId="50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36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garzon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988"/>
  <sheetViews>
    <sheetView showGridLines="0" tabSelected="1" topLeftCell="A10" zoomScale="85" zoomScaleNormal="85" workbookViewId="0">
      <selection activeCell="E13" sqref="E13:E17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1.5703125" style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5703125" style="55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5" hidden="1" customWidth="1"/>
    <col min="44" max="44" width="5" style="15" hidden="1" customWidth="1"/>
    <col min="45" max="45" width="1.8554687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178" t="s">
        <v>0</v>
      </c>
      <c r="B2" s="201"/>
      <c r="C2" s="201"/>
      <c r="D2" s="191" t="s">
        <v>45</v>
      </c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2"/>
      <c r="Y2" s="134" t="s">
        <v>67</v>
      </c>
      <c r="Z2" s="135"/>
      <c r="AA2" s="2"/>
      <c r="AB2" s="2"/>
      <c r="AC2" s="2"/>
      <c r="AD2" s="2"/>
      <c r="AE2" s="13"/>
      <c r="AF2" s="2"/>
      <c r="AG2" s="2"/>
      <c r="AH2" s="2"/>
      <c r="AI2" s="2"/>
      <c r="AM2" s="14"/>
      <c r="AN2" s="14"/>
      <c r="AO2" s="14"/>
      <c r="AP2" s="14"/>
    </row>
    <row r="3" spans="1:44" ht="24" customHeight="1" x14ac:dyDescent="0.2">
      <c r="A3" s="179"/>
      <c r="B3" s="201"/>
      <c r="C3" s="201"/>
      <c r="D3" s="153" t="s">
        <v>55</v>
      </c>
      <c r="E3" s="153"/>
      <c r="F3" s="153"/>
      <c r="G3" s="153" t="s">
        <v>27</v>
      </c>
      <c r="H3" s="153"/>
      <c r="I3" s="153"/>
      <c r="J3" s="153"/>
      <c r="K3" s="153"/>
      <c r="L3" s="153"/>
      <c r="M3" s="153"/>
      <c r="N3" s="153" t="s">
        <v>28</v>
      </c>
      <c r="O3" s="153"/>
      <c r="P3" s="153"/>
      <c r="Q3" s="153"/>
      <c r="R3" s="153"/>
      <c r="S3" s="153"/>
      <c r="T3" s="153"/>
      <c r="U3" s="153"/>
      <c r="V3" s="153" t="s">
        <v>30</v>
      </c>
      <c r="W3" s="153"/>
      <c r="X3" s="2"/>
      <c r="Y3" s="77" t="s">
        <v>61</v>
      </c>
      <c r="Z3" s="83">
        <v>21</v>
      </c>
      <c r="AA3" s="2"/>
      <c r="AB3" s="2"/>
      <c r="AC3" s="2"/>
      <c r="AD3" s="2"/>
      <c r="AE3" s="13"/>
      <c r="AF3" s="2"/>
      <c r="AG3" s="2"/>
      <c r="AH3" s="2"/>
      <c r="AI3" s="2"/>
      <c r="AM3" s="14"/>
      <c r="AN3" s="14"/>
      <c r="AO3" s="14"/>
      <c r="AP3" s="14"/>
    </row>
    <row r="4" spans="1:44" ht="24" customHeight="1" x14ac:dyDescent="0.2">
      <c r="A4" s="179"/>
      <c r="B4" s="201"/>
      <c r="C4" s="201"/>
      <c r="D4" s="154" t="s">
        <v>76</v>
      </c>
      <c r="E4" s="155"/>
      <c r="F4" s="156"/>
      <c r="G4" s="215" t="s">
        <v>69</v>
      </c>
      <c r="H4" s="215"/>
      <c r="I4" s="215"/>
      <c r="J4" s="215"/>
      <c r="K4" s="215"/>
      <c r="L4" s="215"/>
      <c r="M4" s="215"/>
      <c r="N4" s="216" t="s">
        <v>70</v>
      </c>
      <c r="O4" s="217"/>
      <c r="P4" s="217"/>
      <c r="Q4" s="217"/>
      <c r="R4" s="217"/>
      <c r="S4" s="217"/>
      <c r="T4" s="217"/>
      <c r="U4" s="218"/>
      <c r="V4" s="195">
        <v>42950</v>
      </c>
      <c r="W4" s="196"/>
      <c r="X4" s="2"/>
      <c r="Y4" s="78" t="s">
        <v>60</v>
      </c>
      <c r="Z4" s="84">
        <v>6.4</v>
      </c>
      <c r="AA4" s="2"/>
      <c r="AB4" s="2"/>
      <c r="AC4" s="2"/>
      <c r="AD4" s="2"/>
      <c r="AE4" s="13"/>
      <c r="AF4" s="2" t="s">
        <v>65</v>
      </c>
      <c r="AG4" s="2">
        <v>8</v>
      </c>
      <c r="AH4" s="2"/>
      <c r="AI4" s="2"/>
      <c r="AM4" s="14"/>
      <c r="AN4" s="14"/>
      <c r="AO4" s="14"/>
      <c r="AP4" s="14"/>
    </row>
    <row r="5" spans="1:44" ht="18.75" customHeight="1" x14ac:dyDescent="0.2">
      <c r="A5" s="179"/>
      <c r="B5" s="202" t="s">
        <v>26</v>
      </c>
      <c r="C5" s="202"/>
      <c r="D5" s="157"/>
      <c r="E5" s="158"/>
      <c r="F5" s="159"/>
      <c r="G5" s="153" t="s">
        <v>1</v>
      </c>
      <c r="H5" s="153"/>
      <c r="I5" s="153"/>
      <c r="J5" s="153"/>
      <c r="K5" s="153"/>
      <c r="L5" s="153"/>
      <c r="M5" s="153"/>
      <c r="N5" s="219" t="s">
        <v>29</v>
      </c>
      <c r="O5" s="219"/>
      <c r="P5" s="219"/>
      <c r="Q5" s="219"/>
      <c r="R5" s="219"/>
      <c r="S5" s="219"/>
      <c r="T5" s="219"/>
      <c r="U5" s="219"/>
      <c r="V5" s="197"/>
      <c r="W5" s="198"/>
      <c r="X5" s="2"/>
      <c r="Y5" s="78" t="s">
        <v>62</v>
      </c>
      <c r="Z5" s="84">
        <f>Z4*Z3</f>
        <v>134.4</v>
      </c>
      <c r="AA5" s="2"/>
      <c r="AB5" s="2"/>
      <c r="AC5" s="2"/>
      <c r="AD5" s="2"/>
      <c r="AE5" s="13"/>
      <c r="AF5" s="2" t="s">
        <v>66</v>
      </c>
      <c r="AG5" s="2">
        <v>6.4</v>
      </c>
      <c r="AH5" s="2"/>
      <c r="AI5" s="2"/>
      <c r="AM5" s="14"/>
      <c r="AN5" s="14"/>
      <c r="AO5" s="14"/>
      <c r="AP5" s="14"/>
    </row>
    <row r="6" spans="1:44" ht="22.5" customHeight="1" thickBot="1" x14ac:dyDescent="0.25">
      <c r="A6" s="179"/>
      <c r="B6" s="202"/>
      <c r="C6" s="202"/>
      <c r="D6" s="157"/>
      <c r="E6" s="158"/>
      <c r="F6" s="159"/>
      <c r="G6" s="215">
        <v>48600296</v>
      </c>
      <c r="H6" s="215"/>
      <c r="I6" s="215"/>
      <c r="J6" s="215"/>
      <c r="K6" s="215"/>
      <c r="L6" s="215"/>
      <c r="M6" s="215"/>
      <c r="N6" s="215">
        <v>3116104382</v>
      </c>
      <c r="O6" s="215"/>
      <c r="P6" s="215"/>
      <c r="Q6" s="215"/>
      <c r="R6" s="215"/>
      <c r="S6" s="215"/>
      <c r="T6" s="215"/>
      <c r="U6" s="215"/>
      <c r="V6" s="199"/>
      <c r="W6" s="200"/>
      <c r="X6" s="2"/>
      <c r="Y6" s="81" t="s">
        <v>63</v>
      </c>
      <c r="Z6" s="85">
        <f>IF(Z4=8,0,2.1*Z3)</f>
        <v>44.1</v>
      </c>
      <c r="AA6" s="2"/>
      <c r="AB6" s="2"/>
      <c r="AC6" s="2"/>
      <c r="AD6" s="2"/>
      <c r="AE6" s="13"/>
      <c r="AF6" s="2"/>
      <c r="AG6" s="2"/>
      <c r="AH6" s="2"/>
      <c r="AI6" s="2"/>
      <c r="AM6" s="14"/>
      <c r="AN6" s="14"/>
      <c r="AO6" s="14"/>
      <c r="AP6" s="14"/>
    </row>
    <row r="7" spans="1:44" ht="15" customHeight="1" thickBot="1" x14ac:dyDescent="0.25">
      <c r="A7" s="179"/>
      <c r="B7" s="202"/>
      <c r="C7" s="202"/>
      <c r="D7" s="160"/>
      <c r="E7" s="161"/>
      <c r="F7" s="162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80"/>
      <c r="X7" s="2"/>
      <c r="Y7" s="82" t="s">
        <v>64</v>
      </c>
      <c r="Z7" s="86">
        <f>+Z6+Z5</f>
        <v>178.5</v>
      </c>
      <c r="AA7" s="2"/>
      <c r="AB7" s="2"/>
      <c r="AC7" s="2"/>
      <c r="AD7" s="2"/>
      <c r="AE7" s="13"/>
      <c r="AF7" s="2"/>
      <c r="AG7" s="2"/>
      <c r="AH7" s="2"/>
      <c r="AI7" s="2"/>
      <c r="AM7" s="14"/>
      <c r="AN7" s="14"/>
      <c r="AO7" s="14"/>
      <c r="AP7" s="14"/>
    </row>
    <row r="8" spans="1:44" ht="27.75" customHeight="1" x14ac:dyDescent="0.2">
      <c r="A8" s="16"/>
      <c r="B8" s="16"/>
      <c r="C8" s="16"/>
      <c r="D8" s="17"/>
      <c r="E8" s="17"/>
      <c r="F8" s="18"/>
      <c r="G8" s="19"/>
      <c r="H8" s="20"/>
      <c r="I8" s="20"/>
      <c r="J8" s="20"/>
      <c r="K8" s="12"/>
      <c r="L8" s="12"/>
      <c r="M8" s="12"/>
      <c r="N8" s="193"/>
      <c r="O8" s="194"/>
      <c r="P8" s="194"/>
      <c r="Q8" s="194"/>
      <c r="R8" s="194"/>
      <c r="S8" s="194"/>
      <c r="T8" s="194"/>
      <c r="U8" s="194"/>
      <c r="V8" s="194"/>
      <c r="W8" s="12"/>
      <c r="X8" s="2"/>
      <c r="Y8" s="2"/>
      <c r="Z8" s="2"/>
      <c r="AA8" s="2"/>
      <c r="AB8" s="2"/>
      <c r="AC8" s="2"/>
      <c r="AD8" s="2"/>
      <c r="AE8" s="13"/>
      <c r="AF8" s="2"/>
      <c r="AG8" s="2"/>
      <c r="AH8" s="2"/>
      <c r="AI8" s="2"/>
      <c r="AM8" s="14"/>
      <c r="AN8" s="14"/>
      <c r="AO8" s="14"/>
      <c r="AP8" s="14"/>
    </row>
    <row r="9" spans="1:44" ht="35.25" customHeight="1" thickBot="1" x14ac:dyDescent="0.25">
      <c r="A9" s="232" t="s">
        <v>31</v>
      </c>
      <c r="B9" s="233"/>
      <c r="C9" s="233"/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3"/>
      <c r="P9" s="233"/>
      <c r="Q9" s="233"/>
      <c r="R9" s="233"/>
      <c r="S9" s="233"/>
      <c r="T9" s="233"/>
      <c r="U9" s="233"/>
      <c r="V9" s="233"/>
      <c r="W9" s="233"/>
      <c r="X9" s="233"/>
      <c r="Y9" s="233"/>
      <c r="Z9" s="66"/>
      <c r="AA9" s="66"/>
      <c r="AB9" s="66"/>
      <c r="AC9" s="66"/>
      <c r="AD9" s="2"/>
      <c r="AE9" s="13"/>
      <c r="AF9" s="2"/>
      <c r="AG9" s="2"/>
      <c r="AH9" s="2"/>
      <c r="AI9" s="2"/>
      <c r="AM9" s="14"/>
      <c r="AN9" s="14"/>
      <c r="AO9" s="14"/>
      <c r="AP9" s="14"/>
    </row>
    <row r="10" spans="1:44" ht="38.25" customHeight="1" thickBot="1" x14ac:dyDescent="0.25">
      <c r="A10" s="208" t="s">
        <v>2</v>
      </c>
      <c r="B10" s="180" t="s">
        <v>3</v>
      </c>
      <c r="C10" s="180" t="s">
        <v>44</v>
      </c>
      <c r="D10" s="180" t="s">
        <v>54</v>
      </c>
      <c r="E10" s="180" t="s">
        <v>7</v>
      </c>
      <c r="F10" s="180" t="s">
        <v>4</v>
      </c>
      <c r="G10" s="189" t="s">
        <v>6</v>
      </c>
      <c r="H10" s="190"/>
      <c r="I10" s="190"/>
      <c r="J10" s="190"/>
      <c r="K10" s="190"/>
      <c r="L10" s="190"/>
      <c r="M10" s="21"/>
      <c r="N10" s="180" t="s">
        <v>5</v>
      </c>
      <c r="O10" s="180" t="s">
        <v>32</v>
      </c>
      <c r="P10" s="180" t="s">
        <v>8</v>
      </c>
      <c r="Q10" s="180" t="s">
        <v>9</v>
      </c>
      <c r="R10" s="220" t="s">
        <v>10</v>
      </c>
      <c r="S10" s="190"/>
      <c r="T10" s="190"/>
      <c r="U10" s="190"/>
      <c r="V10" s="190"/>
      <c r="W10" s="190"/>
      <c r="X10" s="234" t="s">
        <v>51</v>
      </c>
      <c r="Y10" s="235"/>
      <c r="Z10" s="163" t="s">
        <v>56</v>
      </c>
      <c r="AA10" s="164"/>
      <c r="AB10" s="164"/>
      <c r="AC10" s="165"/>
      <c r="AD10" s="2"/>
      <c r="AE10" s="13"/>
      <c r="AF10" s="2"/>
      <c r="AG10" s="2"/>
      <c r="AH10" s="2"/>
      <c r="AI10" s="2"/>
      <c r="AM10" s="14"/>
      <c r="AN10" s="14"/>
      <c r="AO10" s="14"/>
      <c r="AP10" s="14"/>
    </row>
    <row r="11" spans="1:44" ht="15.75" customHeight="1" thickBot="1" x14ac:dyDescent="0.25">
      <c r="A11" s="209"/>
      <c r="B11" s="181"/>
      <c r="C11" s="181"/>
      <c r="D11" s="181"/>
      <c r="E11" s="181"/>
      <c r="F11" s="181"/>
      <c r="G11" s="22" t="s">
        <v>11</v>
      </c>
      <c r="H11" s="22" t="s">
        <v>12</v>
      </c>
      <c r="I11" s="22" t="s">
        <v>12</v>
      </c>
      <c r="J11" s="22" t="s">
        <v>13</v>
      </c>
      <c r="K11" s="22" t="s">
        <v>14</v>
      </c>
      <c r="L11" s="23" t="s">
        <v>15</v>
      </c>
      <c r="M11" s="23" t="s">
        <v>16</v>
      </c>
      <c r="N11" s="223"/>
      <c r="O11" s="224"/>
      <c r="P11" s="181"/>
      <c r="Q11" s="181"/>
      <c r="R11" s="221"/>
      <c r="S11" s="222"/>
      <c r="T11" s="222"/>
      <c r="U11" s="222"/>
      <c r="V11" s="222"/>
      <c r="W11" s="222"/>
      <c r="X11" s="236"/>
      <c r="Y11" s="237"/>
      <c r="Z11" s="166"/>
      <c r="AA11" s="167"/>
      <c r="AB11" s="167"/>
      <c r="AC11" s="168"/>
      <c r="AD11" s="2"/>
      <c r="AE11" s="90" t="s">
        <v>68</v>
      </c>
      <c r="AF11" s="2"/>
      <c r="AG11" s="2"/>
      <c r="AH11" s="2"/>
      <c r="AI11" s="2"/>
      <c r="AM11" s="14"/>
      <c r="AN11" s="14"/>
      <c r="AO11" s="14"/>
      <c r="AP11" s="14"/>
    </row>
    <row r="12" spans="1:44" ht="15.75" customHeight="1" thickBot="1" x14ac:dyDescent="0.25">
      <c r="A12" s="24"/>
      <c r="B12" s="25"/>
      <c r="C12" s="25"/>
      <c r="D12" s="25"/>
      <c r="E12" s="26"/>
      <c r="F12" s="26"/>
      <c r="G12" s="27"/>
      <c r="H12" s="27"/>
      <c r="I12" s="27"/>
      <c r="J12" s="27"/>
      <c r="K12" s="27"/>
      <c r="L12" s="27"/>
      <c r="M12" s="27"/>
      <c r="N12" s="26"/>
      <c r="O12" s="26"/>
      <c r="P12" s="26"/>
      <c r="Q12" s="28"/>
      <c r="R12" s="28" t="s">
        <v>11</v>
      </c>
      <c r="S12" s="28" t="s">
        <v>12</v>
      </c>
      <c r="T12" s="28" t="s">
        <v>12</v>
      </c>
      <c r="U12" s="28" t="s">
        <v>13</v>
      </c>
      <c r="V12" s="28" t="s">
        <v>14</v>
      </c>
      <c r="W12" s="29" t="s">
        <v>15</v>
      </c>
      <c r="X12" s="206"/>
      <c r="Y12" s="207"/>
      <c r="Z12" s="87" t="s">
        <v>52</v>
      </c>
      <c r="AA12" s="88" t="s">
        <v>57</v>
      </c>
      <c r="AB12" s="88" t="s">
        <v>53</v>
      </c>
      <c r="AC12" s="89" t="s">
        <v>58</v>
      </c>
      <c r="AD12" s="2"/>
      <c r="AE12" s="71" t="s">
        <v>59</v>
      </c>
      <c r="AF12" s="70" t="s">
        <v>11</v>
      </c>
      <c r="AG12" s="28" t="s">
        <v>12</v>
      </c>
      <c r="AH12" s="28" t="s">
        <v>12</v>
      </c>
      <c r="AI12" s="28" t="s">
        <v>13</v>
      </c>
      <c r="AJ12" s="28" t="s">
        <v>14</v>
      </c>
      <c r="AK12" s="29" t="s">
        <v>15</v>
      </c>
      <c r="AM12" s="30" t="s">
        <v>11</v>
      </c>
      <c r="AN12" s="30" t="s">
        <v>12</v>
      </c>
      <c r="AO12" s="30" t="s">
        <v>12</v>
      </c>
      <c r="AP12" s="30" t="s">
        <v>13</v>
      </c>
      <c r="AQ12" s="30" t="s">
        <v>14</v>
      </c>
      <c r="AR12" s="31" t="s">
        <v>15</v>
      </c>
    </row>
    <row r="13" spans="1:44" ht="20.100000000000001" customHeight="1" thickBot="1" x14ac:dyDescent="0.25">
      <c r="A13" s="184">
        <v>1362266</v>
      </c>
      <c r="B13" s="186" t="s">
        <v>71</v>
      </c>
      <c r="C13" s="186" t="s">
        <v>73</v>
      </c>
      <c r="D13" s="186">
        <v>40</v>
      </c>
      <c r="E13" s="186" t="s">
        <v>74</v>
      </c>
      <c r="F13" s="108" t="s">
        <v>75</v>
      </c>
      <c r="G13" s="93"/>
      <c r="H13" s="94"/>
      <c r="I13" s="94"/>
      <c r="J13" s="94"/>
      <c r="K13" s="94"/>
      <c r="L13" s="94"/>
      <c r="M13" s="95"/>
      <c r="N13" s="210">
        <v>310</v>
      </c>
      <c r="O13" s="182">
        <v>264</v>
      </c>
      <c r="P13" s="182">
        <f>8*4</f>
        <v>32</v>
      </c>
      <c r="Q13" s="187">
        <f>O13+P13</f>
        <v>296</v>
      </c>
      <c r="R13" s="114"/>
      <c r="S13" s="133">
        <v>1</v>
      </c>
      <c r="T13" s="133">
        <v>2</v>
      </c>
      <c r="U13" s="133">
        <v>3</v>
      </c>
      <c r="V13" s="133">
        <v>4</v>
      </c>
      <c r="W13" s="113">
        <v>5</v>
      </c>
      <c r="X13" s="109" t="s">
        <v>72</v>
      </c>
      <c r="Y13" s="99"/>
      <c r="Z13" s="172"/>
      <c r="AA13" s="174"/>
      <c r="AB13" s="174"/>
      <c r="AC13" s="176"/>
      <c r="AD13" s="3"/>
      <c r="AE13" s="169">
        <f>AO16</f>
        <v>32</v>
      </c>
      <c r="AF13" s="32">
        <f t="shared" ref="AF13:AF16" si="0">CountCcolor(R13,ColorRef)</f>
        <v>0</v>
      </c>
      <c r="AG13" s="32">
        <f t="shared" ref="AG13:AG16" si="1">CountCcolor(S13,ColorRef)</f>
        <v>1</v>
      </c>
      <c r="AH13" s="32">
        <f t="shared" ref="AH13:AH16" si="2">CountCcolor(T13,ColorRef)</f>
        <v>1</v>
      </c>
      <c r="AI13" s="32">
        <f t="shared" ref="AI13:AI16" si="3">CountCcolor(U13,ColorRef)</f>
        <v>1</v>
      </c>
      <c r="AJ13" s="32">
        <f t="shared" ref="AJ13:AJ16" si="4">CountCcolor(V13,ColorRef)</f>
        <v>1</v>
      </c>
      <c r="AK13" s="33">
        <f t="shared" ref="AK13:AK16" si="5">CountCcolor(W13,ColorRef)</f>
        <v>0</v>
      </c>
      <c r="AL13" s="34"/>
      <c r="AM13" s="35">
        <f>G16-G14</f>
        <v>8</v>
      </c>
      <c r="AN13" s="35">
        <f t="shared" ref="AN13" si="6">H16-H14</f>
        <v>8</v>
      </c>
      <c r="AO13" s="35">
        <f t="shared" ref="AO13" si="7">I16-I14</f>
        <v>8</v>
      </c>
      <c r="AP13" s="35">
        <f t="shared" ref="AP13" si="8">J16-J14</f>
        <v>8</v>
      </c>
      <c r="AQ13" s="35">
        <f t="shared" ref="AQ13" si="9">K16-K14</f>
        <v>8</v>
      </c>
      <c r="AR13" s="35">
        <f t="shared" ref="AR13" si="10">L16-L14</f>
        <v>0</v>
      </c>
    </row>
    <row r="14" spans="1:44" ht="20.100000000000001" customHeight="1" thickBot="1" x14ac:dyDescent="0.25">
      <c r="A14" s="185"/>
      <c r="B14" s="183"/>
      <c r="C14" s="183"/>
      <c r="D14" s="183"/>
      <c r="E14" s="183"/>
      <c r="F14" s="108"/>
      <c r="G14" s="96">
        <v>14</v>
      </c>
      <c r="H14" s="96">
        <v>14</v>
      </c>
      <c r="I14" s="96">
        <v>14</v>
      </c>
      <c r="J14" s="96">
        <v>14</v>
      </c>
      <c r="K14" s="96">
        <v>14</v>
      </c>
      <c r="L14" s="97"/>
      <c r="M14" s="98"/>
      <c r="N14" s="211"/>
      <c r="O14" s="183"/>
      <c r="P14" s="183"/>
      <c r="Q14" s="188"/>
      <c r="R14" s="117">
        <v>7</v>
      </c>
      <c r="S14" s="116">
        <v>8</v>
      </c>
      <c r="T14" s="120">
        <v>9</v>
      </c>
      <c r="U14" s="116">
        <v>10</v>
      </c>
      <c r="V14" s="120">
        <v>11</v>
      </c>
      <c r="W14" s="116">
        <v>12</v>
      </c>
      <c r="X14" s="110"/>
      <c r="Y14" s="100"/>
      <c r="Z14" s="173"/>
      <c r="AA14" s="175"/>
      <c r="AB14" s="175"/>
      <c r="AC14" s="177"/>
      <c r="AD14" s="3"/>
      <c r="AE14" s="170"/>
      <c r="AF14" s="67">
        <f t="shared" si="0"/>
        <v>0</v>
      </c>
      <c r="AG14" s="67">
        <f t="shared" si="1"/>
        <v>0</v>
      </c>
      <c r="AH14" s="67">
        <f t="shared" si="2"/>
        <v>0</v>
      </c>
      <c r="AI14" s="67">
        <f t="shared" si="3"/>
        <v>0</v>
      </c>
      <c r="AJ14" s="67">
        <f t="shared" si="4"/>
        <v>0</v>
      </c>
      <c r="AK14" s="37">
        <f t="shared" si="5"/>
        <v>0</v>
      </c>
      <c r="AL14" s="34"/>
      <c r="AM14" s="35">
        <f t="shared" ref="AM14:AR14" si="11">SUM(AF13:AF17)</f>
        <v>0</v>
      </c>
      <c r="AN14" s="35">
        <f t="shared" si="11"/>
        <v>1</v>
      </c>
      <c r="AO14" s="35">
        <f t="shared" si="11"/>
        <v>1</v>
      </c>
      <c r="AP14" s="35">
        <f t="shared" si="11"/>
        <v>1</v>
      </c>
      <c r="AQ14" s="35">
        <f t="shared" si="11"/>
        <v>1</v>
      </c>
      <c r="AR14" s="35">
        <f t="shared" si="11"/>
        <v>0</v>
      </c>
    </row>
    <row r="15" spans="1:44" ht="20.100000000000001" customHeight="1" thickBot="1" x14ac:dyDescent="0.25">
      <c r="A15" s="185"/>
      <c r="B15" s="183"/>
      <c r="C15" s="183"/>
      <c r="D15" s="183"/>
      <c r="E15" s="183"/>
      <c r="F15" s="108"/>
      <c r="G15" s="96" t="s">
        <v>47</v>
      </c>
      <c r="H15" s="96" t="s">
        <v>47</v>
      </c>
      <c r="I15" s="96" t="s">
        <v>47</v>
      </c>
      <c r="J15" s="96" t="s">
        <v>47</v>
      </c>
      <c r="K15" s="96" t="s">
        <v>47</v>
      </c>
      <c r="L15" s="97"/>
      <c r="M15" s="98"/>
      <c r="N15" s="211"/>
      <c r="O15" s="183"/>
      <c r="P15" s="183"/>
      <c r="Q15" s="188"/>
      <c r="R15" s="115">
        <v>14</v>
      </c>
      <c r="S15" s="116">
        <v>15</v>
      </c>
      <c r="T15" s="120">
        <v>16</v>
      </c>
      <c r="U15" s="116">
        <v>17</v>
      </c>
      <c r="V15" s="120">
        <v>18</v>
      </c>
      <c r="W15" s="116">
        <v>19</v>
      </c>
      <c r="X15" s="110"/>
      <c r="Y15" s="100"/>
      <c r="Z15" s="173"/>
      <c r="AA15" s="175"/>
      <c r="AB15" s="175"/>
      <c r="AC15" s="177"/>
      <c r="AD15" s="3"/>
      <c r="AE15" s="170"/>
      <c r="AF15" s="67">
        <f t="shared" si="0"/>
        <v>0</v>
      </c>
      <c r="AG15" s="67">
        <f t="shared" si="1"/>
        <v>0</v>
      </c>
      <c r="AH15" s="67">
        <f t="shared" si="2"/>
        <v>0</v>
      </c>
      <c r="AI15" s="67">
        <f t="shared" si="3"/>
        <v>0</v>
      </c>
      <c r="AJ15" s="67">
        <f t="shared" si="4"/>
        <v>0</v>
      </c>
      <c r="AK15" s="37">
        <f t="shared" si="5"/>
        <v>0</v>
      </c>
      <c r="AL15" s="34"/>
      <c r="AM15" s="35">
        <f>AM14*AM13</f>
        <v>0</v>
      </c>
      <c r="AN15" s="35">
        <f t="shared" ref="AN15:AR15" si="12">AN14*AN13</f>
        <v>8</v>
      </c>
      <c r="AO15" s="35">
        <f t="shared" si="12"/>
        <v>8</v>
      </c>
      <c r="AP15" s="35">
        <f t="shared" si="12"/>
        <v>8</v>
      </c>
      <c r="AQ15" s="35">
        <f t="shared" si="12"/>
        <v>8</v>
      </c>
      <c r="AR15" s="35">
        <f t="shared" si="12"/>
        <v>0</v>
      </c>
    </row>
    <row r="16" spans="1:44" ht="20.100000000000001" customHeight="1" thickBot="1" x14ac:dyDescent="0.25">
      <c r="A16" s="185"/>
      <c r="B16" s="183"/>
      <c r="C16" s="183"/>
      <c r="D16" s="183"/>
      <c r="E16" s="183"/>
      <c r="F16" s="108"/>
      <c r="G16" s="96">
        <v>22</v>
      </c>
      <c r="H16" s="96">
        <v>22</v>
      </c>
      <c r="I16" s="96">
        <v>22</v>
      </c>
      <c r="J16" s="96">
        <v>22</v>
      </c>
      <c r="K16" s="96">
        <v>22</v>
      </c>
      <c r="L16" s="97"/>
      <c r="M16" s="98"/>
      <c r="N16" s="211"/>
      <c r="O16" s="183"/>
      <c r="P16" s="183"/>
      <c r="Q16" s="188"/>
      <c r="R16" s="117">
        <v>21</v>
      </c>
      <c r="S16" s="116">
        <v>22</v>
      </c>
      <c r="T16" s="120">
        <v>23</v>
      </c>
      <c r="U16" s="116">
        <v>24</v>
      </c>
      <c r="V16" s="120">
        <v>25</v>
      </c>
      <c r="W16" s="116">
        <v>26</v>
      </c>
      <c r="X16" s="110"/>
      <c r="Y16" s="100"/>
      <c r="Z16" s="173"/>
      <c r="AA16" s="175"/>
      <c r="AB16" s="175"/>
      <c r="AC16" s="177"/>
      <c r="AD16" s="3"/>
      <c r="AE16" s="170"/>
      <c r="AF16" s="67">
        <f t="shared" si="0"/>
        <v>0</v>
      </c>
      <c r="AG16" s="67">
        <f t="shared" si="1"/>
        <v>0</v>
      </c>
      <c r="AH16" s="67">
        <f t="shared" si="2"/>
        <v>0</v>
      </c>
      <c r="AI16" s="67">
        <f t="shared" si="3"/>
        <v>0</v>
      </c>
      <c r="AJ16" s="67">
        <f t="shared" si="4"/>
        <v>0</v>
      </c>
      <c r="AK16" s="37">
        <f t="shared" si="5"/>
        <v>0</v>
      </c>
      <c r="AL16" s="34"/>
      <c r="AM16" s="35"/>
      <c r="AN16" s="35"/>
      <c r="AO16" s="38">
        <f>SUM(AM15:AR15)</f>
        <v>32</v>
      </c>
      <c r="AP16" s="35"/>
      <c r="AQ16" s="35"/>
      <c r="AR16" s="35"/>
    </row>
    <row r="17" spans="1:44" ht="20.100000000000001" customHeight="1" thickBot="1" x14ac:dyDescent="0.25">
      <c r="A17" s="185"/>
      <c r="B17" s="183"/>
      <c r="C17" s="183"/>
      <c r="D17" s="183"/>
      <c r="E17" s="183"/>
      <c r="F17" s="121"/>
      <c r="G17" s="96"/>
      <c r="H17" s="96"/>
      <c r="I17" s="96"/>
      <c r="J17" s="96"/>
      <c r="K17" s="96"/>
      <c r="L17" s="96"/>
      <c r="M17" s="122"/>
      <c r="N17" s="211"/>
      <c r="O17" s="183"/>
      <c r="P17" s="183"/>
      <c r="Q17" s="188"/>
      <c r="R17" s="123">
        <v>28</v>
      </c>
      <c r="S17" s="124">
        <v>29</v>
      </c>
      <c r="T17" s="124">
        <v>30</v>
      </c>
      <c r="U17" s="124">
        <v>31</v>
      </c>
      <c r="V17" s="124"/>
      <c r="W17" s="124"/>
      <c r="X17" s="101"/>
      <c r="Y17" s="102"/>
      <c r="Z17" s="173"/>
      <c r="AA17" s="175"/>
      <c r="AB17" s="175"/>
      <c r="AC17" s="177"/>
      <c r="AD17" s="3"/>
      <c r="AE17" s="170"/>
      <c r="AF17" s="112"/>
      <c r="AG17" s="112"/>
      <c r="AH17" s="112"/>
      <c r="AI17" s="112"/>
      <c r="AJ17" s="112"/>
      <c r="AK17" s="37"/>
      <c r="AL17" s="34"/>
      <c r="AM17" s="35"/>
      <c r="AN17" s="35"/>
      <c r="AO17" s="38"/>
      <c r="AP17" s="35"/>
      <c r="AQ17" s="35"/>
      <c r="AR17" s="35"/>
    </row>
    <row r="18" spans="1:44" ht="32.25" customHeight="1" thickBot="1" x14ac:dyDescent="0.25">
      <c r="A18" s="92"/>
      <c r="B18" s="91"/>
      <c r="C18" s="91"/>
      <c r="D18" s="91"/>
      <c r="E18" s="91"/>
      <c r="F18" s="91"/>
      <c r="G18" s="203" t="s">
        <v>49</v>
      </c>
      <c r="H18" s="204"/>
      <c r="I18" s="204"/>
      <c r="J18" s="204"/>
      <c r="K18" s="204"/>
      <c r="L18" s="204"/>
      <c r="M18" s="204"/>
      <c r="N18" s="204"/>
      <c r="O18" s="204"/>
      <c r="P18" s="42">
        <f>SUM(P13:P17)</f>
        <v>32</v>
      </c>
      <c r="Q18" s="42">
        <f>SUM(Q13:Q17)</f>
        <v>296</v>
      </c>
      <c r="R18" s="43"/>
      <c r="S18" s="43"/>
      <c r="T18" s="43"/>
      <c r="U18" s="43"/>
      <c r="V18" s="43"/>
      <c r="W18" s="44"/>
      <c r="X18" s="2"/>
      <c r="Y18" s="2"/>
      <c r="Z18" s="2"/>
      <c r="AA18" s="2"/>
      <c r="AB18" s="2"/>
      <c r="AC18" s="2"/>
      <c r="AD18" s="3"/>
      <c r="AE18" s="8"/>
      <c r="AF18" s="3"/>
      <c r="AG18" s="3"/>
      <c r="AH18" s="3"/>
      <c r="AI18" s="3"/>
      <c r="AM18" s="41"/>
      <c r="AN18" s="41"/>
      <c r="AO18" s="41"/>
      <c r="AP18" s="41"/>
    </row>
    <row r="19" spans="1:44" s="50" customFormat="1" ht="27.75" customHeight="1" thickBot="1" x14ac:dyDescent="0.35">
      <c r="A19" s="58"/>
      <c r="B19" s="59"/>
      <c r="C19" s="59"/>
      <c r="D19" s="59"/>
      <c r="E19" s="59"/>
      <c r="F19" s="59"/>
      <c r="G19" s="45"/>
      <c r="H19" s="45"/>
      <c r="I19" s="45"/>
      <c r="J19" s="45"/>
      <c r="K19" s="45"/>
      <c r="L19" s="45"/>
      <c r="M19" s="45"/>
      <c r="N19" s="45"/>
      <c r="O19" s="45"/>
      <c r="P19" s="46"/>
      <c r="Q19" s="46"/>
      <c r="R19" s="60"/>
      <c r="S19" s="60"/>
      <c r="T19" s="60"/>
      <c r="U19" s="60"/>
      <c r="V19" s="60"/>
      <c r="W19" s="61"/>
      <c r="X19" s="47"/>
      <c r="AA19" s="75"/>
      <c r="AB19" s="47"/>
      <c r="AC19" s="47"/>
      <c r="AD19" s="48"/>
      <c r="AE19" s="49"/>
      <c r="AF19" s="48"/>
      <c r="AG19" s="48"/>
      <c r="AH19" s="48"/>
      <c r="AI19" s="48"/>
      <c r="AM19" s="51"/>
      <c r="AN19" s="51"/>
      <c r="AO19" s="51"/>
      <c r="AP19" s="51"/>
      <c r="AQ19" s="52"/>
      <c r="AR19" s="52"/>
    </row>
    <row r="20" spans="1:44" ht="37.5" customHeight="1" thickBot="1" x14ac:dyDescent="0.35">
      <c r="A20" s="228" t="s">
        <v>17</v>
      </c>
      <c r="B20" s="229"/>
      <c r="C20" s="229"/>
      <c r="D20" s="230"/>
      <c r="E20" s="230"/>
      <c r="F20" s="229"/>
      <c r="G20" s="230"/>
      <c r="H20" s="230"/>
      <c r="I20" s="230"/>
      <c r="J20" s="230"/>
      <c r="K20" s="230"/>
      <c r="L20" s="230"/>
      <c r="M20" s="230"/>
      <c r="N20" s="229"/>
      <c r="O20" s="229"/>
      <c r="P20" s="229"/>
      <c r="Q20" s="229"/>
      <c r="R20" s="229"/>
      <c r="S20" s="229"/>
      <c r="T20" s="229"/>
      <c r="U20" s="229"/>
      <c r="V20" s="229"/>
      <c r="W20" s="231"/>
      <c r="AA20" s="76"/>
      <c r="AE20" s="8"/>
      <c r="AF20" s="3"/>
      <c r="AG20" s="3"/>
      <c r="AH20" s="3"/>
      <c r="AI20" s="3"/>
      <c r="AM20" s="41"/>
      <c r="AN20" s="41"/>
      <c r="AO20" s="41"/>
      <c r="AP20" s="41"/>
    </row>
    <row r="21" spans="1:44" ht="38.25" customHeight="1" x14ac:dyDescent="0.2">
      <c r="A21" s="149" t="s">
        <v>18</v>
      </c>
      <c r="B21" s="150"/>
      <c r="C21" s="151"/>
      <c r="D21" s="145" t="s">
        <v>19</v>
      </c>
      <c r="E21" s="146"/>
      <c r="F21" s="150" t="s">
        <v>20</v>
      </c>
      <c r="G21" s="145" t="s">
        <v>6</v>
      </c>
      <c r="H21" s="214"/>
      <c r="I21" s="214"/>
      <c r="J21" s="214"/>
      <c r="K21" s="214"/>
      <c r="L21" s="214"/>
      <c r="M21" s="69"/>
      <c r="N21" s="251" t="s">
        <v>41</v>
      </c>
      <c r="O21" s="180" t="s">
        <v>21</v>
      </c>
      <c r="P21" s="180" t="s">
        <v>22</v>
      </c>
      <c r="Q21" s="180" t="s">
        <v>23</v>
      </c>
      <c r="R21" s="189" t="s">
        <v>24</v>
      </c>
      <c r="S21" s="190"/>
      <c r="T21" s="190"/>
      <c r="U21" s="190"/>
      <c r="V21" s="190"/>
      <c r="W21" s="244"/>
      <c r="AA21" s="65"/>
      <c r="AB21" s="65"/>
      <c r="AC21" s="65"/>
      <c r="AE21" s="13"/>
      <c r="AF21" s="2"/>
      <c r="AG21" s="2"/>
      <c r="AH21" s="2"/>
      <c r="AI21" s="2"/>
      <c r="AM21" s="14"/>
      <c r="AN21" s="14"/>
      <c r="AO21" s="14"/>
      <c r="AP21" s="14"/>
    </row>
    <row r="22" spans="1:44" ht="17.25" customHeight="1" thickBot="1" x14ac:dyDescent="0.25">
      <c r="A22" s="147"/>
      <c r="B22" s="152"/>
      <c r="C22" s="148"/>
      <c r="D22" s="147"/>
      <c r="E22" s="148"/>
      <c r="F22" s="254"/>
      <c r="G22" s="72" t="s">
        <v>11</v>
      </c>
      <c r="H22" s="62" t="s">
        <v>12</v>
      </c>
      <c r="I22" s="62" t="s">
        <v>12</v>
      </c>
      <c r="J22" s="62" t="s">
        <v>13</v>
      </c>
      <c r="K22" s="62" t="s">
        <v>14</v>
      </c>
      <c r="L22" s="63" t="s">
        <v>15</v>
      </c>
      <c r="M22" s="64" t="s">
        <v>16</v>
      </c>
      <c r="N22" s="252"/>
      <c r="O22" s="253"/>
      <c r="P22" s="213"/>
      <c r="Q22" s="213"/>
      <c r="R22" s="62" t="s">
        <v>11</v>
      </c>
      <c r="S22" s="62" t="s">
        <v>12</v>
      </c>
      <c r="T22" s="62" t="s">
        <v>12</v>
      </c>
      <c r="U22" s="62" t="s">
        <v>13</v>
      </c>
      <c r="V22" s="62" t="s">
        <v>14</v>
      </c>
      <c r="W22" s="64" t="s">
        <v>15</v>
      </c>
      <c r="X22" s="57"/>
      <c r="AA22" s="65"/>
      <c r="AB22" s="65"/>
      <c r="AC22" s="65"/>
      <c r="AE22" s="13"/>
      <c r="AF22" s="28" t="s">
        <v>11</v>
      </c>
      <c r="AG22" s="28" t="s">
        <v>12</v>
      </c>
      <c r="AH22" s="28" t="s">
        <v>12</v>
      </c>
      <c r="AI22" s="28" t="s">
        <v>13</v>
      </c>
      <c r="AJ22" s="28" t="s">
        <v>14</v>
      </c>
      <c r="AK22" s="29" t="s">
        <v>15</v>
      </c>
      <c r="AM22" s="30" t="s">
        <v>11</v>
      </c>
      <c r="AN22" s="30" t="s">
        <v>12</v>
      </c>
      <c r="AO22" s="30" t="s">
        <v>12</v>
      </c>
      <c r="AP22" s="30" t="s">
        <v>13</v>
      </c>
      <c r="AQ22" s="30" t="s">
        <v>14</v>
      </c>
      <c r="AR22" s="31" t="s">
        <v>15</v>
      </c>
    </row>
    <row r="23" spans="1:44" ht="12" customHeight="1" thickBot="1" x14ac:dyDescent="0.25">
      <c r="A23" s="136"/>
      <c r="B23" s="137"/>
      <c r="C23" s="138"/>
      <c r="D23" s="136"/>
      <c r="E23" s="138"/>
      <c r="F23" s="248"/>
      <c r="G23" s="73"/>
      <c r="H23" s="10"/>
      <c r="I23" s="10"/>
      <c r="J23" s="10"/>
      <c r="K23" s="10"/>
      <c r="L23" s="68"/>
      <c r="M23" s="103"/>
      <c r="N23" s="245"/>
      <c r="O23" s="238"/>
      <c r="P23" s="238"/>
      <c r="Q23" s="241"/>
      <c r="R23" s="129"/>
      <c r="S23" s="130"/>
      <c r="T23" s="130"/>
      <c r="U23" s="119"/>
      <c r="V23" s="119"/>
      <c r="W23" s="131"/>
      <c r="X23" s="57"/>
      <c r="AA23" s="65"/>
      <c r="AB23" s="65"/>
      <c r="AC23" s="65"/>
      <c r="AE23" s="169">
        <f>SUM(AE13:AE17)</f>
        <v>32</v>
      </c>
      <c r="AF23" s="32">
        <f t="shared" ref="AF23:AF28" si="13">CountCcolor(R23,ColorRef)</f>
        <v>0</v>
      </c>
      <c r="AG23" s="32">
        <f t="shared" ref="AG23:AG28" si="14">CountCcolor(S23,ColorRef)</f>
        <v>0</v>
      </c>
      <c r="AH23" s="32">
        <f t="shared" ref="AH23:AH28" si="15">CountCcolor(T23,ColorRef)</f>
        <v>0</v>
      </c>
      <c r="AI23" s="32">
        <f t="shared" ref="AI23:AI28" si="16">CountCcolor(U23,ColorRef)</f>
        <v>0</v>
      </c>
      <c r="AJ23" s="32">
        <f t="shared" ref="AJ23:AJ28" si="17">CountCcolor(V23,ColorRef)</f>
        <v>0</v>
      </c>
      <c r="AK23" s="33">
        <f t="shared" ref="AK23:AK28" si="18">CountCcolor(W23,ColorRef)</f>
        <v>0</v>
      </c>
      <c r="AL23" s="34"/>
      <c r="AM23" s="35">
        <f>H26-H24</f>
        <v>0</v>
      </c>
      <c r="AN23" s="35" t="e">
        <f>#REF!-#REF!</f>
        <v>#REF!</v>
      </c>
      <c r="AO23" s="35">
        <f t="shared" ref="AO23" si="19">I26-I24</f>
        <v>0</v>
      </c>
      <c r="AP23" s="35">
        <f t="shared" ref="AP23" si="20">J26-J24</f>
        <v>0</v>
      </c>
      <c r="AQ23" s="35">
        <f t="shared" ref="AQ23" si="21">K26-K24</f>
        <v>0</v>
      </c>
      <c r="AR23" s="35">
        <f t="shared" ref="AR23" si="22">L26-L24</f>
        <v>0</v>
      </c>
    </row>
    <row r="24" spans="1:44" ht="12" customHeight="1" thickBot="1" x14ac:dyDescent="0.25">
      <c r="A24" s="139"/>
      <c r="B24" s="140"/>
      <c r="C24" s="141"/>
      <c r="D24" s="139"/>
      <c r="E24" s="141"/>
      <c r="F24" s="249"/>
      <c r="H24" s="111"/>
      <c r="I24" s="111"/>
      <c r="J24" s="111"/>
      <c r="K24" s="111"/>
      <c r="L24" s="106"/>
      <c r="M24" s="104"/>
      <c r="N24" s="246"/>
      <c r="O24" s="239"/>
      <c r="P24" s="239"/>
      <c r="Q24" s="242"/>
      <c r="R24" s="117"/>
      <c r="S24" s="116"/>
      <c r="T24" s="120"/>
      <c r="U24" s="116"/>
      <c r="V24" s="120"/>
      <c r="W24" s="128"/>
      <c r="X24" s="57"/>
      <c r="AA24" s="65"/>
      <c r="AB24" s="65"/>
      <c r="AC24" s="65"/>
      <c r="AE24" s="170"/>
      <c r="AF24" s="67">
        <f t="shared" si="13"/>
        <v>0</v>
      </c>
      <c r="AG24" s="36">
        <f t="shared" si="14"/>
        <v>0</v>
      </c>
      <c r="AH24" s="36">
        <f t="shared" si="15"/>
        <v>0</v>
      </c>
      <c r="AI24" s="36">
        <f t="shared" si="16"/>
        <v>0</v>
      </c>
      <c r="AJ24" s="36">
        <f t="shared" si="17"/>
        <v>0</v>
      </c>
      <c r="AK24" s="37">
        <f t="shared" si="18"/>
        <v>0</v>
      </c>
      <c r="AL24" s="34"/>
      <c r="AM24" s="35">
        <f>SUM(AF23:AF28)</f>
        <v>0</v>
      </c>
      <c r="AN24" s="35">
        <f t="shared" ref="AN24" si="23">SUM(AG23:AG28)</f>
        <v>0</v>
      </c>
      <c r="AO24" s="35">
        <f t="shared" ref="AO24" si="24">SUM(AH23:AH28)</f>
        <v>0</v>
      </c>
      <c r="AP24" s="35">
        <f t="shared" ref="AP24" si="25">SUM(AI23:AI28)</f>
        <v>0</v>
      </c>
      <c r="AQ24" s="35">
        <f t="shared" ref="AQ24" si="26">SUM(AJ23:AJ28)</f>
        <v>0</v>
      </c>
      <c r="AR24" s="35">
        <f t="shared" ref="AR24" si="27">SUM(AK23:AK28)</f>
        <v>0</v>
      </c>
    </row>
    <row r="25" spans="1:44" ht="12" customHeight="1" thickBot="1" x14ac:dyDescent="0.25">
      <c r="A25" s="139"/>
      <c r="B25" s="140"/>
      <c r="C25" s="141"/>
      <c r="D25" s="139"/>
      <c r="E25" s="141"/>
      <c r="F25" s="249"/>
      <c r="H25" s="111"/>
      <c r="I25" s="111"/>
      <c r="J25" s="111"/>
      <c r="K25" s="111"/>
      <c r="L25" s="106"/>
      <c r="M25" s="104"/>
      <c r="N25" s="246"/>
      <c r="O25" s="239"/>
      <c r="P25" s="239"/>
      <c r="Q25" s="242"/>
      <c r="R25" s="115"/>
      <c r="S25" s="116"/>
      <c r="T25" s="116"/>
      <c r="U25" s="116"/>
      <c r="V25" s="116"/>
      <c r="W25" s="128"/>
      <c r="X25" s="57"/>
      <c r="Y25" s="65"/>
      <c r="Z25" s="65"/>
      <c r="AA25" s="65"/>
      <c r="AB25" s="65"/>
      <c r="AC25" s="65"/>
      <c r="AE25" s="170"/>
      <c r="AF25" s="67">
        <f t="shared" si="13"/>
        <v>0</v>
      </c>
      <c r="AG25" s="36">
        <f t="shared" si="14"/>
        <v>0</v>
      </c>
      <c r="AH25" s="36">
        <f t="shared" si="15"/>
        <v>0</v>
      </c>
      <c r="AI25" s="36">
        <f t="shared" si="16"/>
        <v>0</v>
      </c>
      <c r="AJ25" s="36">
        <f t="shared" si="17"/>
        <v>0</v>
      </c>
      <c r="AK25" s="37">
        <f t="shared" si="18"/>
        <v>0</v>
      </c>
      <c r="AL25" s="34"/>
      <c r="AM25" s="35">
        <f>AM24*AM23</f>
        <v>0</v>
      </c>
      <c r="AN25" s="35" t="e">
        <f t="shared" ref="AN25:AR25" si="28">AN24*AN23</f>
        <v>#REF!</v>
      </c>
      <c r="AO25" s="35">
        <f t="shared" si="28"/>
        <v>0</v>
      </c>
      <c r="AP25" s="35">
        <f t="shared" si="28"/>
        <v>0</v>
      </c>
      <c r="AQ25" s="35">
        <f t="shared" si="28"/>
        <v>0</v>
      </c>
      <c r="AR25" s="35">
        <f t="shared" si="28"/>
        <v>0</v>
      </c>
    </row>
    <row r="26" spans="1:44" ht="12" customHeight="1" thickBot="1" x14ac:dyDescent="0.25">
      <c r="A26" s="139"/>
      <c r="B26" s="140"/>
      <c r="C26" s="141"/>
      <c r="D26" s="139"/>
      <c r="E26" s="141"/>
      <c r="F26" s="249"/>
      <c r="H26" s="111"/>
      <c r="I26" s="111"/>
      <c r="J26" s="111"/>
      <c r="K26" s="111"/>
      <c r="L26" s="106"/>
      <c r="M26" s="104"/>
      <c r="N26" s="246"/>
      <c r="O26" s="239"/>
      <c r="P26" s="239"/>
      <c r="Q26" s="242"/>
      <c r="R26" s="115"/>
      <c r="S26" s="116"/>
      <c r="T26" s="116"/>
      <c r="U26" s="127"/>
      <c r="V26" s="116"/>
      <c r="W26" s="128"/>
      <c r="AE26" s="170"/>
      <c r="AF26" s="67">
        <f t="shared" si="13"/>
        <v>0</v>
      </c>
      <c r="AG26" s="36">
        <f t="shared" si="14"/>
        <v>0</v>
      </c>
      <c r="AH26" s="36">
        <f t="shared" si="15"/>
        <v>0</v>
      </c>
      <c r="AI26" s="36">
        <f t="shared" si="16"/>
        <v>0</v>
      </c>
      <c r="AJ26" s="36">
        <f t="shared" si="17"/>
        <v>0</v>
      </c>
      <c r="AK26" s="37">
        <f t="shared" si="18"/>
        <v>0</v>
      </c>
      <c r="AL26" s="34"/>
      <c r="AM26" s="35"/>
      <c r="AN26" s="35"/>
      <c r="AO26" s="38" t="e">
        <f>SUM(AM25:AR25)</f>
        <v>#REF!</v>
      </c>
      <c r="AP26" s="35"/>
      <c r="AQ26" s="35"/>
      <c r="AR26" s="35"/>
    </row>
    <row r="27" spans="1:44" ht="12" customHeight="1" thickBot="1" x14ac:dyDescent="0.25">
      <c r="A27" s="139"/>
      <c r="B27" s="140"/>
      <c r="C27" s="141"/>
      <c r="D27" s="139"/>
      <c r="E27" s="141"/>
      <c r="F27" s="249"/>
      <c r="H27" s="126"/>
      <c r="I27" s="9"/>
      <c r="J27" s="9"/>
      <c r="K27" s="9"/>
      <c r="L27" s="106"/>
      <c r="M27" s="104"/>
      <c r="N27" s="246"/>
      <c r="O27" s="239"/>
      <c r="P27" s="239"/>
      <c r="Q27" s="242"/>
      <c r="R27" s="123"/>
      <c r="S27" s="124"/>
      <c r="T27" s="124"/>
      <c r="U27" s="124"/>
      <c r="V27" s="124"/>
      <c r="W27" s="128"/>
      <c r="AE27" s="170"/>
      <c r="AF27" s="112"/>
      <c r="AG27" s="112"/>
      <c r="AH27" s="112"/>
      <c r="AI27" s="112"/>
      <c r="AJ27" s="112"/>
      <c r="AK27" s="37"/>
      <c r="AL27" s="34"/>
      <c r="AM27" s="35"/>
      <c r="AN27" s="35"/>
      <c r="AO27" s="38"/>
      <c r="AP27" s="35"/>
      <c r="AQ27" s="35"/>
      <c r="AR27" s="35"/>
    </row>
    <row r="28" spans="1:44" ht="13.5" customHeight="1" thickBot="1" x14ac:dyDescent="0.25">
      <c r="A28" s="142"/>
      <c r="B28" s="143"/>
      <c r="C28" s="144"/>
      <c r="D28" s="142"/>
      <c r="E28" s="144"/>
      <c r="F28" s="250"/>
      <c r="G28" s="74"/>
      <c r="H28" s="11"/>
      <c r="I28" s="11"/>
      <c r="J28" s="11"/>
      <c r="K28" s="11"/>
      <c r="L28" s="107"/>
      <c r="M28" s="105"/>
      <c r="N28" s="247"/>
      <c r="O28" s="240"/>
      <c r="P28" s="240"/>
      <c r="Q28" s="243"/>
      <c r="R28" s="125"/>
      <c r="S28" s="118"/>
      <c r="T28" s="118"/>
      <c r="U28" s="118"/>
      <c r="V28" s="118"/>
      <c r="W28" s="132"/>
      <c r="AE28" s="171"/>
      <c r="AF28" s="39">
        <f t="shared" si="13"/>
        <v>0</v>
      </c>
      <c r="AG28" s="39">
        <f t="shared" si="14"/>
        <v>0</v>
      </c>
      <c r="AH28" s="39">
        <f t="shared" si="15"/>
        <v>0</v>
      </c>
      <c r="AI28" s="39">
        <f t="shared" si="16"/>
        <v>0</v>
      </c>
      <c r="AJ28" s="39">
        <f t="shared" si="17"/>
        <v>0</v>
      </c>
      <c r="AK28" s="40">
        <f t="shared" si="18"/>
        <v>0</v>
      </c>
      <c r="AL28" s="34"/>
      <c r="AM28" s="35"/>
      <c r="AN28" s="35"/>
      <c r="AO28" s="35"/>
      <c r="AP28" s="35"/>
      <c r="AQ28" s="35"/>
      <c r="AR28" s="35"/>
    </row>
    <row r="29" spans="1:44" ht="33.75" customHeight="1" thickBot="1" x14ac:dyDescent="0.25">
      <c r="A29" s="212"/>
      <c r="B29" s="212"/>
      <c r="C29" s="212"/>
      <c r="D29" s="212"/>
      <c r="E29" s="212"/>
      <c r="F29" s="212"/>
      <c r="G29" s="203" t="s">
        <v>33</v>
      </c>
      <c r="H29" s="204"/>
      <c r="I29" s="204"/>
      <c r="J29" s="204"/>
      <c r="K29" s="204"/>
      <c r="L29" s="204"/>
      <c r="M29" s="204"/>
      <c r="N29" s="204"/>
      <c r="O29" s="204"/>
      <c r="P29" s="205"/>
      <c r="Q29" s="42">
        <f>SUM(Q23:Q28)</f>
        <v>0</v>
      </c>
      <c r="R29" s="53"/>
      <c r="S29" s="53"/>
      <c r="T29" s="53"/>
      <c r="U29" s="53"/>
      <c r="V29" s="53"/>
      <c r="W29" s="54"/>
      <c r="X29" s="2"/>
      <c r="Y29" s="2"/>
      <c r="Z29" s="2"/>
      <c r="AA29" s="2"/>
      <c r="AB29" s="2"/>
      <c r="AC29" s="2"/>
      <c r="AD29" s="3"/>
      <c r="AE29" s="8"/>
      <c r="AF29" s="3"/>
      <c r="AG29" s="3"/>
      <c r="AH29" s="3"/>
      <c r="AI29" s="3"/>
      <c r="AM29" s="41"/>
      <c r="AN29" s="41"/>
      <c r="AO29" s="41"/>
      <c r="AP29" s="41"/>
    </row>
    <row r="30" spans="1:44" ht="32.25" customHeight="1" thickBot="1" x14ac:dyDescent="0.25">
      <c r="A30" s="3"/>
      <c r="B30" s="3"/>
      <c r="C30" s="3"/>
      <c r="E30" s="3"/>
      <c r="F30" s="3"/>
      <c r="G30" s="225" t="s">
        <v>48</v>
      </c>
      <c r="H30" s="226"/>
      <c r="I30" s="226"/>
      <c r="J30" s="226"/>
      <c r="K30" s="226"/>
      <c r="L30" s="226"/>
      <c r="M30" s="226"/>
      <c r="N30" s="226"/>
      <c r="O30" s="226"/>
      <c r="P30" s="227"/>
      <c r="Q30" s="56">
        <f>Q29+P18</f>
        <v>32</v>
      </c>
      <c r="X30" s="2"/>
      <c r="Y30" s="2"/>
      <c r="Z30" s="2"/>
      <c r="AA30" s="2"/>
      <c r="AB30" s="2"/>
      <c r="AC30" s="2"/>
      <c r="AD30" s="2"/>
      <c r="AE30" s="13"/>
      <c r="AF30" s="2"/>
      <c r="AG30" s="2"/>
      <c r="AH30" s="2"/>
      <c r="AI30" s="2"/>
      <c r="AM30" s="14"/>
      <c r="AN30" s="14"/>
      <c r="AO30" s="14"/>
      <c r="AP30" s="14"/>
    </row>
    <row r="31" spans="1:44" ht="12.75" customHeight="1" x14ac:dyDescent="0.2">
      <c r="A31" s="3"/>
      <c r="B31" s="3"/>
      <c r="C31" s="3"/>
      <c r="E31" s="3"/>
      <c r="F31" s="3"/>
      <c r="N31" s="3"/>
      <c r="O31" s="3"/>
      <c r="X31" s="2"/>
      <c r="Y31" s="2"/>
      <c r="Z31" s="2"/>
      <c r="AA31" s="2"/>
      <c r="AB31" s="2"/>
      <c r="AC31" s="2"/>
      <c r="AD31" s="2"/>
      <c r="AE31" s="13"/>
      <c r="AF31" s="2"/>
      <c r="AG31" s="2"/>
      <c r="AH31" s="2"/>
      <c r="AI31" s="2"/>
      <c r="AM31" s="14"/>
      <c r="AN31" s="14"/>
      <c r="AO31" s="14"/>
      <c r="AP31" s="14"/>
    </row>
    <row r="32" spans="1:44" ht="12.75" customHeight="1" x14ac:dyDescent="0.2">
      <c r="A32" s="3"/>
      <c r="B32" s="3"/>
      <c r="C32" s="3"/>
      <c r="E32" s="3"/>
      <c r="F32" s="3"/>
      <c r="N32" s="3"/>
      <c r="O32" s="3"/>
      <c r="X32" s="2"/>
      <c r="Y32" s="2"/>
      <c r="Z32" s="2"/>
      <c r="AA32" s="2"/>
      <c r="AB32" s="2"/>
      <c r="AC32" s="2"/>
      <c r="AD32" s="2"/>
      <c r="AE32" s="13"/>
      <c r="AF32" s="2"/>
      <c r="AG32" s="2"/>
      <c r="AH32" s="2"/>
      <c r="AI32" s="2"/>
      <c r="AM32" s="14"/>
      <c r="AN32" s="14"/>
      <c r="AO32" s="14"/>
      <c r="AP32" s="14"/>
    </row>
    <row r="33" spans="1:42" ht="12.75" customHeight="1" x14ac:dyDescent="0.2">
      <c r="A33" s="3"/>
      <c r="B33" s="3"/>
      <c r="C33" s="3"/>
      <c r="E33" s="3"/>
      <c r="F33" s="3"/>
      <c r="N33" s="3"/>
      <c r="O33" s="3"/>
      <c r="X33" s="2"/>
      <c r="Y33" s="2"/>
      <c r="Z33" s="2"/>
      <c r="AA33" s="2"/>
      <c r="AB33" s="2"/>
      <c r="AC33" s="2"/>
      <c r="AD33" s="2"/>
      <c r="AE33" s="13"/>
      <c r="AF33" s="2"/>
      <c r="AG33" s="2"/>
      <c r="AH33" s="2"/>
      <c r="AI33" s="2"/>
      <c r="AM33" s="14"/>
      <c r="AN33" s="14"/>
      <c r="AO33" s="14"/>
      <c r="AP33" s="14"/>
    </row>
    <row r="34" spans="1:42" ht="12.75" customHeight="1" x14ac:dyDescent="0.2">
      <c r="A34" s="3"/>
      <c r="B34" s="3"/>
      <c r="C34" s="3"/>
      <c r="E34" s="3"/>
      <c r="F34" s="3"/>
      <c r="N34" s="3"/>
      <c r="O34" s="3"/>
      <c r="X34" s="2"/>
      <c r="Y34" s="2"/>
      <c r="Z34" s="2"/>
      <c r="AA34" s="2"/>
      <c r="AB34" s="2"/>
      <c r="AC34" s="2"/>
      <c r="AD34" s="2"/>
      <c r="AE34" s="13"/>
      <c r="AF34" s="2"/>
      <c r="AG34" s="2"/>
      <c r="AH34" s="2"/>
      <c r="AI34" s="2"/>
      <c r="AM34" s="2"/>
      <c r="AN34" s="2">
        <v>7</v>
      </c>
      <c r="AO34" s="3"/>
      <c r="AP34" s="14"/>
    </row>
    <row r="35" spans="1:42" ht="12.75" customHeight="1" x14ac:dyDescent="0.2">
      <c r="A35" s="3"/>
      <c r="B35" s="3"/>
      <c r="C35" s="3"/>
      <c r="E35" s="3"/>
      <c r="F35" s="3"/>
      <c r="N35" s="3"/>
      <c r="O35" s="3"/>
      <c r="X35" s="2"/>
      <c r="Y35" s="2"/>
      <c r="Z35" s="2"/>
      <c r="AA35" s="2"/>
      <c r="AB35" s="2"/>
      <c r="AC35" s="2"/>
      <c r="AD35" s="2"/>
      <c r="AE35" s="13"/>
      <c r="AF35" s="2"/>
      <c r="AG35" s="2"/>
      <c r="AH35" s="2"/>
      <c r="AI35" s="2"/>
      <c r="AM35" s="2"/>
      <c r="AN35" s="2" t="s">
        <v>50</v>
      </c>
      <c r="AO35" s="2">
        <f>AN34*6.4</f>
        <v>44.800000000000004</v>
      </c>
      <c r="AP35" s="14"/>
    </row>
    <row r="36" spans="1:42" ht="12.75" customHeight="1" x14ac:dyDescent="0.2">
      <c r="A36" s="3"/>
      <c r="B36" s="3"/>
      <c r="C36" s="3"/>
      <c r="E36" s="3"/>
      <c r="F36" s="3"/>
      <c r="N36" s="3"/>
      <c r="O36" s="3"/>
      <c r="X36" s="2"/>
      <c r="Y36" s="2"/>
      <c r="Z36" s="2"/>
      <c r="AA36" s="2"/>
      <c r="AB36" s="2"/>
      <c r="AC36" s="2"/>
      <c r="AD36" s="2"/>
      <c r="AE36" s="13"/>
      <c r="AF36" s="2"/>
      <c r="AG36" s="2"/>
      <c r="AH36" s="2"/>
      <c r="AI36" s="2"/>
      <c r="AM36" s="2"/>
      <c r="AN36" s="2" t="s">
        <v>46</v>
      </c>
      <c r="AO36" s="2">
        <f>(8.5-6.4)*AN34</f>
        <v>14.699999999999998</v>
      </c>
      <c r="AP36" s="14"/>
    </row>
    <row r="37" spans="1:42" ht="12.75" customHeight="1" x14ac:dyDescent="0.2">
      <c r="A37" s="3"/>
      <c r="B37" s="3"/>
      <c r="C37" s="3"/>
      <c r="E37" s="3"/>
      <c r="F37" s="3"/>
      <c r="N37" s="3"/>
      <c r="O37" s="3"/>
      <c r="X37" s="2"/>
      <c r="Y37" s="2"/>
      <c r="Z37" s="2"/>
      <c r="AA37" s="2"/>
      <c r="AB37" s="2"/>
      <c r="AC37" s="2"/>
      <c r="AD37" s="2"/>
      <c r="AE37" s="13"/>
      <c r="AF37" s="2"/>
      <c r="AG37" s="2"/>
      <c r="AH37" s="2"/>
      <c r="AI37" s="2"/>
      <c r="AM37" s="2"/>
      <c r="AN37" s="2"/>
      <c r="AO37" s="2">
        <f>(8.5)*9</f>
        <v>76.5</v>
      </c>
      <c r="AP37" s="14"/>
    </row>
    <row r="38" spans="1:42" ht="12.75" customHeight="1" x14ac:dyDescent="0.2">
      <c r="A38" s="3"/>
      <c r="B38" s="3"/>
      <c r="C38" s="3"/>
      <c r="E38" s="3"/>
      <c r="F38" s="3"/>
      <c r="N38" s="3"/>
      <c r="O38" s="3"/>
      <c r="X38" s="2"/>
      <c r="Y38" s="2"/>
      <c r="Z38" s="2"/>
      <c r="AA38" s="2"/>
      <c r="AB38" s="2"/>
      <c r="AC38" s="2"/>
      <c r="AD38" s="2"/>
      <c r="AE38" s="13"/>
      <c r="AF38" s="2"/>
      <c r="AG38" s="2"/>
      <c r="AH38" s="2"/>
      <c r="AI38" s="2"/>
      <c r="AM38" s="2"/>
      <c r="AN38" s="2"/>
      <c r="AO38" s="3">
        <f>AO37+AO36</f>
        <v>91.2</v>
      </c>
      <c r="AP38" s="14"/>
    </row>
    <row r="39" spans="1:42" ht="12.75" customHeight="1" x14ac:dyDescent="0.2">
      <c r="A39" s="3"/>
      <c r="B39" s="3"/>
      <c r="C39" s="3"/>
      <c r="E39" s="3"/>
      <c r="F39" s="3"/>
      <c r="N39" s="3"/>
      <c r="O39" s="3"/>
      <c r="X39" s="2"/>
      <c r="Y39" s="2"/>
      <c r="Z39" s="2"/>
      <c r="AA39" s="2"/>
      <c r="AB39" s="2"/>
      <c r="AC39" s="2"/>
      <c r="AD39" s="2"/>
      <c r="AE39" s="13"/>
      <c r="AF39" s="2"/>
      <c r="AG39" s="2"/>
      <c r="AH39" s="2"/>
      <c r="AI39" s="2"/>
      <c r="AM39" s="2"/>
      <c r="AN39" s="2"/>
      <c r="AO39" s="3"/>
      <c r="AP39" s="14"/>
    </row>
    <row r="40" spans="1:42" ht="12.75" customHeight="1" x14ac:dyDescent="0.2">
      <c r="A40" s="3"/>
      <c r="B40" s="3"/>
      <c r="C40" s="3"/>
      <c r="E40" s="3"/>
      <c r="F40" s="3"/>
      <c r="N40" s="3"/>
      <c r="O40" s="3"/>
      <c r="X40" s="2"/>
      <c r="Y40" s="2"/>
      <c r="Z40" s="2"/>
      <c r="AA40" s="2"/>
      <c r="AB40" s="2"/>
      <c r="AC40" s="2"/>
      <c r="AD40" s="2"/>
      <c r="AE40" s="13"/>
      <c r="AF40" s="2"/>
      <c r="AG40" s="2"/>
      <c r="AH40" s="2"/>
      <c r="AI40" s="2"/>
      <c r="AM40" s="2"/>
      <c r="AN40" s="2"/>
      <c r="AO40" s="3"/>
      <c r="AP40" s="14"/>
    </row>
    <row r="41" spans="1:42" ht="12.75" customHeight="1" x14ac:dyDescent="0.2">
      <c r="A41" s="3"/>
      <c r="B41" s="3"/>
      <c r="C41" s="3"/>
      <c r="E41" s="3"/>
      <c r="F41" s="3"/>
      <c r="N41" s="3"/>
      <c r="O41" s="3"/>
      <c r="X41" s="2"/>
      <c r="Y41" s="2"/>
      <c r="Z41" s="2"/>
      <c r="AA41" s="2"/>
      <c r="AB41" s="2"/>
      <c r="AC41" s="2"/>
      <c r="AD41" s="2"/>
      <c r="AE41" s="13"/>
      <c r="AF41" s="2"/>
      <c r="AG41" s="2"/>
      <c r="AH41" s="2"/>
      <c r="AI41" s="2"/>
      <c r="AM41" s="2"/>
      <c r="AN41" s="2"/>
      <c r="AO41" s="3"/>
      <c r="AP41" s="14"/>
    </row>
    <row r="42" spans="1:42" ht="12.75" customHeight="1" x14ac:dyDescent="0.2">
      <c r="A42" s="3"/>
      <c r="B42" s="3"/>
      <c r="C42" s="3"/>
      <c r="E42" s="3"/>
      <c r="F42" s="3"/>
      <c r="N42" s="3"/>
      <c r="O42" s="3"/>
      <c r="X42" s="2"/>
      <c r="Y42" s="2"/>
      <c r="Z42" s="2"/>
      <c r="AA42" s="2"/>
      <c r="AB42" s="2"/>
      <c r="AC42" s="2"/>
      <c r="AD42" s="2"/>
      <c r="AE42" s="13"/>
      <c r="AF42" s="2"/>
      <c r="AG42" s="2"/>
      <c r="AH42" s="2"/>
      <c r="AI42" s="2"/>
      <c r="AM42" s="2"/>
      <c r="AN42" s="2"/>
      <c r="AO42" s="3">
        <f>16*8.5</f>
        <v>136</v>
      </c>
      <c r="AP42" s="14"/>
    </row>
    <row r="43" spans="1:42" ht="12.75" customHeight="1" x14ac:dyDescent="0.2">
      <c r="A43" s="3"/>
      <c r="B43" s="3"/>
      <c r="C43" s="3"/>
      <c r="E43" s="3"/>
      <c r="F43" s="3"/>
      <c r="N43" s="3"/>
      <c r="O43" s="3"/>
      <c r="X43" s="2"/>
      <c r="Y43" s="2"/>
      <c r="Z43" s="2"/>
      <c r="AA43" s="2"/>
      <c r="AB43" s="2"/>
      <c r="AC43" s="2"/>
      <c r="AD43" s="2"/>
      <c r="AE43" s="13"/>
      <c r="AF43" s="2"/>
      <c r="AG43" s="2"/>
      <c r="AH43" s="2"/>
      <c r="AI43" s="2"/>
      <c r="AM43" s="14"/>
      <c r="AN43" s="14"/>
      <c r="AO43" s="14"/>
      <c r="AP43" s="14"/>
    </row>
    <row r="44" spans="1:42" ht="12.75" customHeight="1" x14ac:dyDescent="0.2">
      <c r="A44" s="3"/>
      <c r="B44" s="3"/>
      <c r="C44" s="3"/>
      <c r="E44" s="3"/>
      <c r="F44" s="3"/>
      <c r="N44" s="3"/>
      <c r="O44" s="3"/>
      <c r="X44" s="2"/>
      <c r="Y44" s="2"/>
      <c r="Z44" s="2"/>
      <c r="AA44" s="2"/>
      <c r="AB44" s="2"/>
      <c r="AC44" s="2"/>
      <c r="AD44" s="2"/>
      <c r="AE44" s="13"/>
      <c r="AF44" s="2"/>
      <c r="AG44" s="2"/>
      <c r="AH44" s="2"/>
      <c r="AI44" s="2"/>
      <c r="AM44" s="14"/>
      <c r="AN44" s="14"/>
      <c r="AO44" s="14"/>
      <c r="AP44" s="14"/>
    </row>
    <row r="45" spans="1:42" ht="12.75" customHeight="1" x14ac:dyDescent="0.2">
      <c r="A45" s="3"/>
      <c r="B45" s="3"/>
      <c r="C45" s="3"/>
      <c r="E45" s="3"/>
      <c r="F45" s="3"/>
      <c r="N45" s="3"/>
      <c r="O45" s="3"/>
      <c r="X45" s="2"/>
      <c r="Y45" s="2"/>
      <c r="Z45" s="2"/>
      <c r="AA45" s="2"/>
      <c r="AB45" s="2"/>
      <c r="AC45" s="2"/>
      <c r="AD45" s="2"/>
      <c r="AE45" s="13"/>
      <c r="AF45" s="2"/>
      <c r="AG45" s="2"/>
      <c r="AH45" s="2"/>
      <c r="AI45" s="2"/>
      <c r="AM45" s="14"/>
      <c r="AN45" s="14"/>
      <c r="AO45" s="14"/>
      <c r="AP45" s="14"/>
    </row>
    <row r="46" spans="1:42" ht="12.75" customHeight="1" x14ac:dyDescent="0.2">
      <c r="A46" s="3"/>
      <c r="B46" s="3"/>
      <c r="C46" s="3"/>
      <c r="E46" s="3"/>
      <c r="F46" s="3"/>
      <c r="N46" s="3"/>
      <c r="O46" s="3"/>
      <c r="X46" s="2"/>
      <c r="Y46" s="2"/>
      <c r="Z46" s="2"/>
      <c r="AA46" s="2"/>
      <c r="AB46" s="2"/>
      <c r="AC46" s="2"/>
      <c r="AD46" s="2"/>
      <c r="AE46" s="13"/>
      <c r="AF46" s="2"/>
      <c r="AG46" s="2"/>
      <c r="AH46" s="2"/>
      <c r="AI46" s="2"/>
      <c r="AM46" s="14"/>
      <c r="AN46" s="14"/>
      <c r="AO46" s="14"/>
      <c r="AP46" s="14"/>
    </row>
    <row r="47" spans="1:42" ht="12.75" customHeight="1" x14ac:dyDescent="0.2">
      <c r="A47" s="3"/>
      <c r="B47" s="3"/>
      <c r="C47" s="3"/>
      <c r="E47" s="3"/>
      <c r="F47" s="3"/>
      <c r="N47" s="3"/>
      <c r="O47" s="3"/>
      <c r="X47" s="2"/>
      <c r="Y47" s="2"/>
      <c r="Z47" s="2"/>
      <c r="AA47" s="2"/>
      <c r="AB47" s="2"/>
      <c r="AC47" s="2"/>
      <c r="AD47" s="2"/>
      <c r="AE47" s="13"/>
      <c r="AF47" s="2"/>
      <c r="AG47" s="2"/>
      <c r="AH47" s="2"/>
      <c r="AI47" s="2"/>
      <c r="AM47" s="14"/>
      <c r="AN47" s="14"/>
      <c r="AO47" s="14"/>
      <c r="AP47" s="14"/>
    </row>
    <row r="48" spans="1:42" ht="12.75" customHeight="1" x14ac:dyDescent="0.2">
      <c r="A48" s="3"/>
      <c r="B48" s="3"/>
      <c r="C48" s="3"/>
      <c r="E48" s="3"/>
      <c r="F48" s="3"/>
      <c r="N48" s="3"/>
      <c r="O48" s="3"/>
      <c r="X48" s="2"/>
      <c r="Y48" s="2"/>
      <c r="Z48" s="2"/>
      <c r="AA48" s="2"/>
      <c r="AB48" s="2"/>
      <c r="AC48" s="2"/>
      <c r="AD48" s="2"/>
      <c r="AE48" s="13"/>
      <c r="AF48" s="2"/>
      <c r="AG48" s="2"/>
      <c r="AH48" s="2"/>
      <c r="AI48" s="2"/>
      <c r="AM48" s="14"/>
      <c r="AN48" s="14"/>
      <c r="AO48" s="14"/>
      <c r="AP48" s="14"/>
    </row>
    <row r="49" spans="1:42" ht="12.75" customHeight="1" x14ac:dyDescent="0.2">
      <c r="A49" s="3"/>
      <c r="B49" s="3"/>
      <c r="C49" s="3"/>
      <c r="E49" s="3"/>
      <c r="F49" s="3"/>
      <c r="N49" s="3"/>
      <c r="O49" s="3"/>
      <c r="X49" s="2"/>
      <c r="Y49" s="2"/>
      <c r="Z49" s="2"/>
      <c r="AA49" s="2"/>
      <c r="AB49" s="2"/>
      <c r="AC49" s="2"/>
      <c r="AD49" s="2"/>
      <c r="AE49" s="13"/>
      <c r="AF49" s="2"/>
      <c r="AG49" s="2"/>
      <c r="AH49" s="2"/>
      <c r="AI49" s="2"/>
      <c r="AM49" s="14"/>
      <c r="AN49" s="14"/>
      <c r="AO49" s="14"/>
      <c r="AP49" s="14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3"/>
      <c r="AF50" s="2"/>
      <c r="AG50" s="2"/>
      <c r="AH50" s="2"/>
      <c r="AI50" s="2"/>
      <c r="AM50" s="14"/>
      <c r="AN50" s="14"/>
      <c r="AO50" s="14"/>
      <c r="AP50" s="14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3"/>
      <c r="AF51" s="2"/>
      <c r="AG51" s="2"/>
      <c r="AH51" s="2"/>
      <c r="AI51" s="2"/>
      <c r="AM51" s="14"/>
      <c r="AN51" s="14"/>
      <c r="AO51" s="14"/>
      <c r="AP51" s="14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3"/>
      <c r="AF52" s="2"/>
      <c r="AG52" s="2"/>
      <c r="AH52" s="2"/>
      <c r="AI52" s="2"/>
      <c r="AM52" s="14"/>
      <c r="AN52" s="14"/>
      <c r="AO52" s="14"/>
      <c r="AP52" s="14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3"/>
      <c r="AF53" s="2"/>
      <c r="AG53" s="2"/>
      <c r="AH53" s="2"/>
      <c r="AI53" s="2"/>
      <c r="AM53" s="14"/>
      <c r="AN53" s="14"/>
      <c r="AO53" s="14"/>
      <c r="AP53" s="14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3"/>
      <c r="AF54" s="2"/>
      <c r="AG54" s="2"/>
      <c r="AH54" s="2"/>
      <c r="AI54" s="2"/>
      <c r="AM54" s="14"/>
      <c r="AN54" s="14"/>
      <c r="AO54" s="14"/>
      <c r="AP54" s="14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3"/>
      <c r="AF55" s="2"/>
      <c r="AG55" s="2"/>
      <c r="AH55" s="2"/>
      <c r="AI55" s="2"/>
      <c r="AM55" s="14"/>
      <c r="AN55" s="14"/>
      <c r="AO55" s="14"/>
      <c r="AP55" s="14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3"/>
      <c r="AF56" s="2"/>
      <c r="AG56" s="2"/>
      <c r="AH56" s="2"/>
      <c r="AI56" s="2"/>
      <c r="AM56" s="14"/>
      <c r="AN56" s="14"/>
      <c r="AO56" s="14"/>
      <c r="AP56" s="14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3"/>
      <c r="AF57" s="2"/>
      <c r="AG57" s="2"/>
      <c r="AH57" s="2"/>
      <c r="AI57" s="2"/>
      <c r="AM57" s="14"/>
      <c r="AN57" s="14"/>
      <c r="AO57" s="14"/>
      <c r="AP57" s="14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3"/>
      <c r="AF58" s="2"/>
      <c r="AG58" s="2"/>
      <c r="AH58" s="2"/>
      <c r="AI58" s="2"/>
      <c r="AM58" s="14"/>
      <c r="AN58" s="14"/>
      <c r="AO58" s="14"/>
      <c r="AP58" s="14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3"/>
      <c r="AF59" s="2"/>
      <c r="AG59" s="2"/>
      <c r="AH59" s="2"/>
      <c r="AI59" s="2"/>
      <c r="AM59" s="14"/>
      <c r="AN59" s="14"/>
      <c r="AO59" s="14"/>
      <c r="AP59" s="14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3"/>
      <c r="AF60" s="2"/>
      <c r="AG60" s="2"/>
      <c r="AH60" s="2"/>
      <c r="AI60" s="2"/>
      <c r="AM60" s="14"/>
      <c r="AN60" s="14"/>
      <c r="AO60" s="14"/>
      <c r="AP60" s="14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3"/>
      <c r="AF61" s="2"/>
      <c r="AG61" s="2"/>
      <c r="AH61" s="2"/>
      <c r="AI61" s="2"/>
      <c r="AM61" s="14"/>
      <c r="AN61" s="14"/>
      <c r="AO61" s="14"/>
      <c r="AP61" s="14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3"/>
      <c r="AF62" s="2"/>
      <c r="AG62" s="2"/>
      <c r="AH62" s="2"/>
      <c r="AI62" s="2"/>
      <c r="AM62" s="14"/>
      <c r="AN62" s="14"/>
      <c r="AO62" s="14"/>
      <c r="AP62" s="14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3"/>
      <c r="AF63" s="2"/>
      <c r="AG63" s="2"/>
      <c r="AH63" s="2"/>
      <c r="AI63" s="2"/>
      <c r="AM63" s="14"/>
      <c r="AN63" s="14"/>
      <c r="AO63" s="14"/>
      <c r="AP63" s="14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3"/>
      <c r="AF64" s="2"/>
      <c r="AG64" s="2"/>
      <c r="AH64" s="2"/>
      <c r="AI64" s="2"/>
      <c r="AM64" s="14"/>
      <c r="AN64" s="14"/>
      <c r="AO64" s="14"/>
      <c r="AP64" s="14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3"/>
      <c r="AF65" s="2"/>
      <c r="AG65" s="2"/>
      <c r="AH65" s="2"/>
      <c r="AI65" s="2"/>
      <c r="AM65" s="14"/>
      <c r="AN65" s="14"/>
      <c r="AO65" s="14"/>
      <c r="AP65" s="14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3"/>
      <c r="AF66" s="2"/>
      <c r="AG66" s="2"/>
      <c r="AH66" s="2"/>
      <c r="AI66" s="2"/>
      <c r="AM66" s="14"/>
      <c r="AN66" s="14"/>
      <c r="AO66" s="14"/>
      <c r="AP66" s="14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3"/>
      <c r="AF67" s="2"/>
      <c r="AG67" s="2"/>
      <c r="AH67" s="2"/>
      <c r="AI67" s="2"/>
      <c r="AM67" s="14"/>
      <c r="AN67" s="14"/>
      <c r="AO67" s="14"/>
      <c r="AP67" s="14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3"/>
      <c r="AF68" s="2"/>
      <c r="AG68" s="2"/>
      <c r="AH68" s="2"/>
      <c r="AI68" s="2"/>
      <c r="AM68" s="14"/>
      <c r="AN68" s="14"/>
      <c r="AO68" s="14"/>
      <c r="AP68" s="14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3"/>
      <c r="AF69" s="2"/>
      <c r="AG69" s="2"/>
      <c r="AH69" s="2"/>
      <c r="AI69" s="2"/>
      <c r="AM69" s="14"/>
      <c r="AN69" s="14"/>
      <c r="AO69" s="14"/>
      <c r="AP69" s="14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3"/>
      <c r="AF70" s="2"/>
      <c r="AG70" s="2"/>
      <c r="AH70" s="2"/>
      <c r="AI70" s="2"/>
      <c r="AM70" s="14"/>
      <c r="AN70" s="14"/>
      <c r="AO70" s="14"/>
      <c r="AP70" s="14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3"/>
      <c r="AF71" s="2"/>
      <c r="AG71" s="2"/>
      <c r="AH71" s="2"/>
      <c r="AI71" s="2"/>
      <c r="AM71" s="14"/>
      <c r="AN71" s="14"/>
      <c r="AO71" s="14"/>
      <c r="AP71" s="14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3"/>
      <c r="AF72" s="2"/>
      <c r="AG72" s="2"/>
      <c r="AH72" s="2"/>
      <c r="AI72" s="2"/>
      <c r="AM72" s="14"/>
      <c r="AN72" s="14"/>
      <c r="AO72" s="14"/>
      <c r="AP72" s="14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3"/>
      <c r="AF73" s="2"/>
      <c r="AG73" s="2"/>
      <c r="AH73" s="2"/>
      <c r="AI73" s="2"/>
      <c r="AM73" s="14"/>
      <c r="AN73" s="14"/>
      <c r="AO73" s="14"/>
      <c r="AP73" s="14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3"/>
      <c r="AF74" s="2"/>
      <c r="AG74" s="2"/>
      <c r="AH74" s="2"/>
      <c r="AI74" s="2"/>
      <c r="AM74" s="14"/>
      <c r="AN74" s="14"/>
      <c r="AO74" s="14"/>
      <c r="AP74" s="14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3"/>
      <c r="AF75" s="2"/>
      <c r="AG75" s="2"/>
      <c r="AH75" s="2"/>
      <c r="AI75" s="2"/>
      <c r="AM75" s="14"/>
      <c r="AN75" s="14"/>
      <c r="AO75" s="14"/>
      <c r="AP75" s="14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3"/>
      <c r="AF76" s="2"/>
      <c r="AG76" s="2"/>
      <c r="AH76" s="2"/>
      <c r="AI76" s="2"/>
      <c r="AM76" s="14"/>
      <c r="AN76" s="14"/>
      <c r="AO76" s="14"/>
      <c r="AP76" s="14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3"/>
      <c r="AF77" s="2"/>
      <c r="AG77" s="2"/>
      <c r="AH77" s="2"/>
      <c r="AI77" s="2"/>
      <c r="AM77" s="14"/>
      <c r="AN77" s="14"/>
      <c r="AO77" s="14"/>
      <c r="AP77" s="14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3"/>
      <c r="AF78" s="2"/>
      <c r="AG78" s="2"/>
      <c r="AH78" s="2"/>
      <c r="AI78" s="2"/>
      <c r="AM78" s="14"/>
      <c r="AN78" s="14"/>
      <c r="AO78" s="14"/>
      <c r="AP78" s="14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3"/>
      <c r="AF79" s="2"/>
      <c r="AG79" s="2"/>
      <c r="AH79" s="2"/>
      <c r="AI79" s="2"/>
      <c r="AM79" s="14"/>
      <c r="AN79" s="14"/>
      <c r="AO79" s="14"/>
      <c r="AP79" s="14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3"/>
      <c r="AF80" s="2"/>
      <c r="AG80" s="2"/>
      <c r="AH80" s="2"/>
      <c r="AI80" s="2"/>
      <c r="AM80" s="14"/>
      <c r="AN80" s="14"/>
      <c r="AO80" s="14"/>
      <c r="AP80" s="14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3"/>
      <c r="AF81" s="2"/>
      <c r="AG81" s="2"/>
      <c r="AH81" s="2"/>
      <c r="AI81" s="2"/>
      <c r="AM81" s="14"/>
      <c r="AN81" s="14"/>
      <c r="AO81" s="14"/>
      <c r="AP81" s="14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3"/>
      <c r="AF82" s="2"/>
      <c r="AG82" s="2"/>
      <c r="AH82" s="2"/>
      <c r="AI82" s="2"/>
      <c r="AM82" s="14"/>
      <c r="AN82" s="14"/>
      <c r="AO82" s="14"/>
      <c r="AP82" s="14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3"/>
      <c r="AF83" s="2"/>
      <c r="AG83" s="2"/>
      <c r="AH83" s="2"/>
      <c r="AI83" s="2"/>
      <c r="AM83" s="14"/>
      <c r="AN83" s="14"/>
      <c r="AO83" s="14"/>
      <c r="AP83" s="14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3"/>
      <c r="AF84" s="2"/>
      <c r="AG84" s="2"/>
      <c r="AH84" s="2"/>
      <c r="AI84" s="2"/>
      <c r="AM84" s="14"/>
      <c r="AN84" s="14"/>
      <c r="AO84" s="14"/>
      <c r="AP84" s="14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3"/>
      <c r="AF85" s="2"/>
      <c r="AG85" s="2"/>
      <c r="AH85" s="2"/>
      <c r="AI85" s="2"/>
      <c r="AM85" s="14"/>
      <c r="AN85" s="14"/>
      <c r="AO85" s="14"/>
      <c r="AP85" s="14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3"/>
      <c r="AF86" s="2"/>
      <c r="AG86" s="2"/>
      <c r="AH86" s="2"/>
      <c r="AI86" s="2"/>
      <c r="AM86" s="14"/>
      <c r="AN86" s="14"/>
      <c r="AO86" s="14"/>
      <c r="AP86" s="14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3"/>
      <c r="AF87" s="2"/>
      <c r="AG87" s="2"/>
      <c r="AH87" s="2"/>
      <c r="AI87" s="2"/>
      <c r="AM87" s="14"/>
      <c r="AN87" s="14"/>
      <c r="AO87" s="14"/>
      <c r="AP87" s="14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3"/>
      <c r="AF88" s="2"/>
      <c r="AG88" s="2"/>
      <c r="AH88" s="2"/>
      <c r="AI88" s="2"/>
      <c r="AM88" s="14"/>
      <c r="AN88" s="14"/>
      <c r="AO88" s="14"/>
      <c r="AP88" s="14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3"/>
      <c r="AF89" s="2"/>
      <c r="AG89" s="2"/>
      <c r="AH89" s="2"/>
      <c r="AI89" s="2"/>
      <c r="AM89" s="14"/>
      <c r="AN89" s="14"/>
      <c r="AO89" s="14"/>
      <c r="AP89" s="14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3"/>
      <c r="AF90" s="2"/>
      <c r="AG90" s="2"/>
      <c r="AH90" s="2"/>
      <c r="AI90" s="2"/>
      <c r="AM90" s="14"/>
      <c r="AN90" s="14"/>
      <c r="AO90" s="14"/>
      <c r="AP90" s="14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3"/>
      <c r="AF91" s="2"/>
      <c r="AG91" s="2"/>
      <c r="AH91" s="2"/>
      <c r="AI91" s="2"/>
      <c r="AM91" s="14"/>
      <c r="AN91" s="14"/>
      <c r="AO91" s="14"/>
      <c r="AP91" s="14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3"/>
      <c r="AF92" s="2"/>
      <c r="AG92" s="2"/>
      <c r="AH92" s="2"/>
      <c r="AI92" s="2"/>
      <c r="AM92" s="14"/>
      <c r="AN92" s="14"/>
      <c r="AO92" s="14"/>
      <c r="AP92" s="14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3"/>
      <c r="AF93" s="2"/>
      <c r="AG93" s="2"/>
      <c r="AH93" s="2"/>
      <c r="AI93" s="2"/>
      <c r="AM93" s="14"/>
      <c r="AN93" s="14"/>
      <c r="AO93" s="14"/>
      <c r="AP93" s="14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3"/>
      <c r="AF94" s="2"/>
      <c r="AG94" s="2"/>
      <c r="AH94" s="2"/>
      <c r="AI94" s="2"/>
      <c r="AM94" s="14"/>
      <c r="AN94" s="14"/>
      <c r="AO94" s="14"/>
      <c r="AP94" s="14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3"/>
      <c r="AF95" s="2"/>
      <c r="AG95" s="2"/>
      <c r="AH95" s="2"/>
      <c r="AI95" s="2"/>
      <c r="AM95" s="14"/>
      <c r="AN95" s="14"/>
      <c r="AO95" s="14"/>
      <c r="AP95" s="14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3"/>
      <c r="AF96" s="2"/>
      <c r="AG96" s="2"/>
      <c r="AH96" s="2"/>
      <c r="AI96" s="2"/>
      <c r="AM96" s="14"/>
      <c r="AN96" s="14"/>
      <c r="AO96" s="14"/>
      <c r="AP96" s="14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3"/>
      <c r="AF97" s="2"/>
      <c r="AG97" s="2"/>
      <c r="AH97" s="2"/>
      <c r="AI97" s="2"/>
      <c r="AM97" s="14"/>
      <c r="AN97" s="14"/>
      <c r="AO97" s="14"/>
      <c r="AP97" s="14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3"/>
      <c r="AF98" s="2"/>
      <c r="AG98" s="2"/>
      <c r="AH98" s="2"/>
      <c r="AI98" s="2"/>
      <c r="AM98" s="14"/>
      <c r="AN98" s="14"/>
      <c r="AO98" s="14"/>
      <c r="AP98" s="14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3"/>
      <c r="AF99" s="2"/>
      <c r="AG99" s="2"/>
      <c r="AH99" s="2"/>
      <c r="AI99" s="2"/>
      <c r="AM99" s="14"/>
      <c r="AN99" s="14"/>
      <c r="AO99" s="14"/>
      <c r="AP99" s="14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3"/>
      <c r="AF100" s="2"/>
      <c r="AG100" s="2"/>
      <c r="AH100" s="2"/>
      <c r="AI100" s="2"/>
      <c r="AM100" s="14"/>
      <c r="AN100" s="14"/>
      <c r="AO100" s="14"/>
      <c r="AP100" s="14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3"/>
      <c r="AF101" s="2"/>
      <c r="AG101" s="2"/>
      <c r="AH101" s="2"/>
      <c r="AI101" s="2"/>
      <c r="AM101" s="14"/>
      <c r="AN101" s="14"/>
      <c r="AO101" s="14"/>
      <c r="AP101" s="14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3"/>
      <c r="AF102" s="2"/>
      <c r="AG102" s="2"/>
      <c r="AH102" s="2"/>
      <c r="AI102" s="2"/>
      <c r="AM102" s="14"/>
      <c r="AN102" s="14"/>
      <c r="AO102" s="14"/>
      <c r="AP102" s="14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3"/>
      <c r="AF103" s="2"/>
      <c r="AG103" s="2"/>
      <c r="AH103" s="2"/>
      <c r="AI103" s="2"/>
      <c r="AM103" s="14"/>
      <c r="AN103" s="14"/>
      <c r="AO103" s="14"/>
      <c r="AP103" s="14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3"/>
      <c r="AF104" s="2"/>
      <c r="AG104" s="2"/>
      <c r="AH104" s="2"/>
      <c r="AI104" s="2"/>
      <c r="AM104" s="14"/>
      <c r="AN104" s="14"/>
      <c r="AO104" s="14"/>
      <c r="AP104" s="14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3"/>
      <c r="AF105" s="2"/>
      <c r="AG105" s="2"/>
      <c r="AH105" s="2"/>
      <c r="AI105" s="2"/>
      <c r="AM105" s="14"/>
      <c r="AN105" s="14"/>
      <c r="AO105" s="14"/>
      <c r="AP105" s="14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3"/>
      <c r="AF106" s="2"/>
      <c r="AG106" s="2"/>
      <c r="AH106" s="2"/>
      <c r="AI106" s="2"/>
      <c r="AM106" s="14"/>
      <c r="AN106" s="14"/>
      <c r="AO106" s="14"/>
      <c r="AP106" s="14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3"/>
      <c r="AF107" s="2"/>
      <c r="AG107" s="2"/>
      <c r="AH107" s="2"/>
      <c r="AI107" s="2"/>
      <c r="AM107" s="14"/>
      <c r="AN107" s="14"/>
      <c r="AO107" s="14"/>
      <c r="AP107" s="14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3"/>
      <c r="AF108" s="2"/>
      <c r="AG108" s="2"/>
      <c r="AH108" s="2"/>
      <c r="AI108" s="2"/>
      <c r="AM108" s="14"/>
      <c r="AN108" s="14"/>
      <c r="AO108" s="14"/>
      <c r="AP108" s="14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3"/>
      <c r="AF109" s="2"/>
      <c r="AG109" s="2"/>
      <c r="AH109" s="2"/>
      <c r="AI109" s="2"/>
      <c r="AM109" s="14"/>
      <c r="AN109" s="14"/>
      <c r="AO109" s="14"/>
      <c r="AP109" s="14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3"/>
      <c r="AF110" s="2"/>
      <c r="AG110" s="2"/>
      <c r="AH110" s="2"/>
      <c r="AI110" s="2"/>
      <c r="AM110" s="14"/>
      <c r="AN110" s="14"/>
      <c r="AO110" s="14"/>
      <c r="AP110" s="14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3"/>
      <c r="AF111" s="2"/>
      <c r="AG111" s="2"/>
      <c r="AH111" s="2"/>
      <c r="AI111" s="2"/>
      <c r="AM111" s="14"/>
      <c r="AN111" s="14"/>
      <c r="AO111" s="14"/>
      <c r="AP111" s="14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3"/>
      <c r="AF112" s="2"/>
      <c r="AG112" s="2"/>
      <c r="AH112" s="2"/>
      <c r="AI112" s="2"/>
      <c r="AM112" s="14"/>
      <c r="AN112" s="14"/>
      <c r="AO112" s="14"/>
      <c r="AP112" s="14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3"/>
      <c r="AF113" s="2"/>
      <c r="AG113" s="2"/>
      <c r="AH113" s="2"/>
      <c r="AI113" s="2"/>
      <c r="AM113" s="14"/>
      <c r="AN113" s="14"/>
      <c r="AO113" s="14"/>
      <c r="AP113" s="14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3"/>
      <c r="AF114" s="2"/>
      <c r="AG114" s="2"/>
      <c r="AH114" s="2"/>
      <c r="AI114" s="2"/>
      <c r="AM114" s="14"/>
      <c r="AN114" s="14"/>
      <c r="AO114" s="14"/>
      <c r="AP114" s="14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3"/>
      <c r="AF115" s="2"/>
      <c r="AG115" s="2"/>
      <c r="AH115" s="2"/>
      <c r="AI115" s="2"/>
      <c r="AM115" s="14"/>
      <c r="AN115" s="14"/>
      <c r="AO115" s="14"/>
      <c r="AP115" s="14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3"/>
      <c r="AF116" s="2"/>
      <c r="AG116" s="2"/>
      <c r="AH116" s="2"/>
      <c r="AI116" s="2"/>
      <c r="AM116" s="14"/>
      <c r="AN116" s="14"/>
      <c r="AO116" s="14"/>
      <c r="AP116" s="14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3"/>
      <c r="AF117" s="2"/>
      <c r="AG117" s="2"/>
      <c r="AH117" s="2"/>
      <c r="AI117" s="2"/>
      <c r="AM117" s="14"/>
      <c r="AN117" s="14"/>
      <c r="AO117" s="14"/>
      <c r="AP117" s="14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3"/>
      <c r="AF118" s="2"/>
      <c r="AG118" s="2"/>
      <c r="AH118" s="2"/>
      <c r="AI118" s="2"/>
      <c r="AM118" s="14"/>
      <c r="AN118" s="14"/>
      <c r="AO118" s="14"/>
      <c r="AP118" s="14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3"/>
      <c r="AF119" s="2"/>
      <c r="AG119" s="2"/>
      <c r="AH119" s="2"/>
      <c r="AI119" s="2"/>
      <c r="AM119" s="14"/>
      <c r="AN119" s="14"/>
      <c r="AO119" s="14"/>
      <c r="AP119" s="14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3"/>
      <c r="AF120" s="2"/>
      <c r="AG120" s="2"/>
      <c r="AH120" s="2"/>
      <c r="AI120" s="2"/>
      <c r="AM120" s="14"/>
      <c r="AN120" s="14"/>
      <c r="AO120" s="14"/>
      <c r="AP120" s="14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3"/>
      <c r="AF121" s="2"/>
      <c r="AG121" s="2"/>
      <c r="AH121" s="2"/>
      <c r="AI121" s="2"/>
      <c r="AM121" s="14"/>
      <c r="AN121" s="14"/>
      <c r="AO121" s="14"/>
      <c r="AP121" s="14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3"/>
      <c r="AF122" s="2"/>
      <c r="AG122" s="2"/>
      <c r="AH122" s="2"/>
      <c r="AI122" s="2"/>
      <c r="AM122" s="14"/>
      <c r="AN122" s="14"/>
      <c r="AO122" s="14"/>
      <c r="AP122" s="14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3"/>
      <c r="AF123" s="2"/>
      <c r="AG123" s="2"/>
      <c r="AH123" s="2"/>
      <c r="AI123" s="2"/>
      <c r="AM123" s="14"/>
      <c r="AN123" s="14"/>
      <c r="AO123" s="14"/>
      <c r="AP123" s="14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3"/>
      <c r="AF124" s="2"/>
      <c r="AG124" s="2"/>
      <c r="AH124" s="2"/>
      <c r="AI124" s="2"/>
      <c r="AM124" s="14"/>
      <c r="AN124" s="14"/>
      <c r="AO124" s="14"/>
      <c r="AP124" s="14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3"/>
      <c r="AF125" s="2"/>
      <c r="AG125" s="2"/>
      <c r="AH125" s="2"/>
      <c r="AI125" s="2"/>
      <c r="AM125" s="14"/>
      <c r="AN125" s="14"/>
      <c r="AO125" s="14"/>
      <c r="AP125" s="14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3"/>
      <c r="AF126" s="2"/>
      <c r="AG126" s="2"/>
      <c r="AH126" s="2"/>
      <c r="AI126" s="2"/>
      <c r="AM126" s="14"/>
      <c r="AN126" s="14"/>
      <c r="AO126" s="14"/>
      <c r="AP126" s="14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3"/>
      <c r="AF127" s="2"/>
      <c r="AG127" s="2"/>
      <c r="AH127" s="2"/>
      <c r="AI127" s="2"/>
      <c r="AM127" s="14"/>
      <c r="AN127" s="14"/>
      <c r="AO127" s="14"/>
      <c r="AP127" s="14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3"/>
      <c r="AF128" s="2"/>
      <c r="AG128" s="2"/>
      <c r="AH128" s="2"/>
      <c r="AI128" s="2"/>
      <c r="AM128" s="14"/>
      <c r="AN128" s="14"/>
      <c r="AO128" s="14"/>
      <c r="AP128" s="14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3"/>
      <c r="AF129" s="2"/>
      <c r="AG129" s="2"/>
      <c r="AH129" s="2"/>
      <c r="AI129" s="2"/>
      <c r="AM129" s="14"/>
      <c r="AN129" s="14"/>
      <c r="AO129" s="14"/>
      <c r="AP129" s="14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3"/>
      <c r="AF130" s="2"/>
      <c r="AG130" s="2"/>
      <c r="AH130" s="2"/>
      <c r="AI130" s="2"/>
      <c r="AM130" s="14"/>
      <c r="AN130" s="14"/>
      <c r="AO130" s="14"/>
      <c r="AP130" s="14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3"/>
      <c r="AF131" s="2"/>
      <c r="AG131" s="2"/>
      <c r="AH131" s="2"/>
      <c r="AI131" s="2"/>
      <c r="AM131" s="14"/>
      <c r="AN131" s="14"/>
      <c r="AO131" s="14"/>
      <c r="AP131" s="14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3"/>
      <c r="AF132" s="2"/>
      <c r="AG132" s="2"/>
      <c r="AH132" s="2"/>
      <c r="AI132" s="2"/>
      <c r="AM132" s="14"/>
      <c r="AN132" s="14"/>
      <c r="AO132" s="14"/>
      <c r="AP132" s="14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3"/>
      <c r="AF133" s="2"/>
      <c r="AG133" s="2"/>
      <c r="AH133" s="2"/>
      <c r="AI133" s="2"/>
      <c r="AM133" s="14"/>
      <c r="AN133" s="14"/>
      <c r="AO133" s="14"/>
      <c r="AP133" s="14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3"/>
      <c r="AF134" s="2"/>
      <c r="AG134" s="2"/>
      <c r="AH134" s="2"/>
      <c r="AI134" s="2"/>
      <c r="AM134" s="14"/>
      <c r="AN134" s="14"/>
      <c r="AO134" s="14"/>
      <c r="AP134" s="14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3"/>
      <c r="AF135" s="2"/>
      <c r="AG135" s="2"/>
      <c r="AH135" s="2"/>
      <c r="AI135" s="2"/>
      <c r="AM135" s="14"/>
      <c r="AN135" s="14"/>
      <c r="AO135" s="14"/>
      <c r="AP135" s="14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3"/>
      <c r="AF136" s="2"/>
      <c r="AG136" s="2"/>
      <c r="AH136" s="2"/>
      <c r="AI136" s="2"/>
      <c r="AM136" s="14"/>
      <c r="AN136" s="14"/>
      <c r="AO136" s="14"/>
      <c r="AP136" s="14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3"/>
      <c r="AF137" s="2"/>
      <c r="AG137" s="2"/>
      <c r="AH137" s="2"/>
      <c r="AI137" s="2"/>
      <c r="AM137" s="14"/>
      <c r="AN137" s="14"/>
      <c r="AO137" s="14"/>
      <c r="AP137" s="14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3"/>
      <c r="AF138" s="2"/>
      <c r="AG138" s="2"/>
      <c r="AH138" s="2"/>
      <c r="AI138" s="2"/>
      <c r="AM138" s="14"/>
      <c r="AN138" s="14"/>
      <c r="AO138" s="14"/>
      <c r="AP138" s="14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3"/>
      <c r="AF139" s="2"/>
      <c r="AG139" s="2"/>
      <c r="AH139" s="2"/>
      <c r="AI139" s="2"/>
      <c r="AM139" s="14"/>
      <c r="AN139" s="14"/>
      <c r="AO139" s="14"/>
      <c r="AP139" s="14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3"/>
      <c r="AF140" s="2"/>
      <c r="AG140" s="2"/>
      <c r="AH140" s="2"/>
      <c r="AI140" s="2"/>
      <c r="AM140" s="14"/>
      <c r="AN140" s="14"/>
      <c r="AO140" s="14"/>
      <c r="AP140" s="14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3"/>
      <c r="AF141" s="2"/>
      <c r="AG141" s="2"/>
      <c r="AH141" s="2"/>
      <c r="AI141" s="2"/>
      <c r="AM141" s="14"/>
      <c r="AN141" s="14"/>
      <c r="AO141" s="14"/>
      <c r="AP141" s="14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3"/>
      <c r="AF142" s="2"/>
      <c r="AG142" s="2"/>
      <c r="AH142" s="2"/>
      <c r="AI142" s="2"/>
      <c r="AM142" s="14"/>
      <c r="AN142" s="14"/>
      <c r="AO142" s="14"/>
      <c r="AP142" s="14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3"/>
      <c r="AF143" s="2"/>
      <c r="AG143" s="2"/>
      <c r="AH143" s="2"/>
      <c r="AI143" s="2"/>
      <c r="AM143" s="14"/>
      <c r="AN143" s="14"/>
      <c r="AO143" s="14"/>
      <c r="AP143" s="14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3"/>
      <c r="AF144" s="2"/>
      <c r="AG144" s="2"/>
      <c r="AH144" s="2"/>
      <c r="AI144" s="2"/>
      <c r="AM144" s="14"/>
      <c r="AN144" s="14"/>
      <c r="AO144" s="14"/>
      <c r="AP144" s="14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3"/>
      <c r="AF145" s="2"/>
      <c r="AG145" s="2"/>
      <c r="AH145" s="2"/>
      <c r="AI145" s="2"/>
      <c r="AM145" s="14"/>
      <c r="AN145" s="14"/>
      <c r="AO145" s="14"/>
      <c r="AP145" s="14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3"/>
      <c r="AF146" s="2"/>
      <c r="AG146" s="2"/>
      <c r="AH146" s="2"/>
      <c r="AI146" s="2"/>
      <c r="AM146" s="14"/>
      <c r="AN146" s="14"/>
      <c r="AO146" s="14"/>
      <c r="AP146" s="14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3"/>
      <c r="AF147" s="2"/>
      <c r="AG147" s="2"/>
      <c r="AH147" s="2"/>
      <c r="AI147" s="2"/>
      <c r="AM147" s="14"/>
      <c r="AN147" s="14"/>
      <c r="AO147" s="14"/>
      <c r="AP147" s="14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3"/>
      <c r="AF148" s="2"/>
      <c r="AG148" s="2"/>
      <c r="AH148" s="2"/>
      <c r="AI148" s="2"/>
      <c r="AM148" s="14"/>
      <c r="AN148" s="14"/>
      <c r="AO148" s="14"/>
      <c r="AP148" s="14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3"/>
      <c r="AF149" s="2"/>
      <c r="AG149" s="2"/>
      <c r="AH149" s="2"/>
      <c r="AI149" s="2"/>
      <c r="AM149" s="14"/>
      <c r="AN149" s="14"/>
      <c r="AO149" s="14"/>
      <c r="AP149" s="14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3"/>
      <c r="AF150" s="2"/>
      <c r="AG150" s="2"/>
      <c r="AH150" s="2"/>
      <c r="AI150" s="2"/>
      <c r="AM150" s="14"/>
      <c r="AN150" s="14"/>
      <c r="AO150" s="14"/>
      <c r="AP150" s="14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3"/>
      <c r="AF151" s="2"/>
      <c r="AG151" s="2"/>
      <c r="AH151" s="2"/>
      <c r="AI151" s="2"/>
      <c r="AM151" s="14"/>
      <c r="AN151" s="14"/>
      <c r="AO151" s="14"/>
      <c r="AP151" s="14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3"/>
      <c r="AF152" s="2"/>
      <c r="AG152" s="2"/>
      <c r="AH152" s="2"/>
      <c r="AI152" s="2"/>
      <c r="AM152" s="14"/>
      <c r="AN152" s="14"/>
      <c r="AO152" s="14"/>
      <c r="AP152" s="14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3"/>
      <c r="AF153" s="2"/>
      <c r="AG153" s="2"/>
      <c r="AH153" s="2"/>
      <c r="AI153" s="2"/>
      <c r="AM153" s="14"/>
      <c r="AN153" s="14"/>
      <c r="AO153" s="14"/>
      <c r="AP153" s="14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3"/>
      <c r="AF154" s="2"/>
      <c r="AG154" s="2"/>
      <c r="AH154" s="2"/>
      <c r="AI154" s="2"/>
      <c r="AM154" s="14"/>
      <c r="AN154" s="14"/>
      <c r="AO154" s="14"/>
      <c r="AP154" s="14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3"/>
      <c r="AF155" s="2"/>
      <c r="AG155" s="2"/>
      <c r="AH155" s="2"/>
      <c r="AI155" s="2"/>
      <c r="AM155" s="14"/>
      <c r="AN155" s="14"/>
      <c r="AO155" s="14"/>
      <c r="AP155" s="14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3"/>
      <c r="AF156" s="2"/>
      <c r="AG156" s="2"/>
      <c r="AH156" s="2"/>
      <c r="AI156" s="2"/>
      <c r="AM156" s="14"/>
      <c r="AN156" s="14"/>
      <c r="AO156" s="14"/>
      <c r="AP156" s="14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3"/>
      <c r="AF157" s="2"/>
      <c r="AG157" s="2"/>
      <c r="AH157" s="2"/>
      <c r="AI157" s="2"/>
      <c r="AM157" s="14"/>
      <c r="AN157" s="14"/>
      <c r="AO157" s="14"/>
      <c r="AP157" s="14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3"/>
      <c r="AF158" s="2"/>
      <c r="AG158" s="2"/>
      <c r="AH158" s="2"/>
      <c r="AI158" s="2"/>
      <c r="AM158" s="14"/>
      <c r="AN158" s="14"/>
      <c r="AO158" s="14"/>
      <c r="AP158" s="14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3"/>
      <c r="AF159" s="2"/>
      <c r="AG159" s="2"/>
      <c r="AH159" s="2"/>
      <c r="AI159" s="2"/>
      <c r="AM159" s="14"/>
      <c r="AN159" s="14"/>
      <c r="AO159" s="14"/>
      <c r="AP159" s="14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3"/>
      <c r="AF160" s="2"/>
      <c r="AG160" s="2"/>
      <c r="AH160" s="2"/>
      <c r="AI160" s="2"/>
      <c r="AM160" s="14"/>
      <c r="AN160" s="14"/>
      <c r="AO160" s="14"/>
      <c r="AP160" s="14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3"/>
      <c r="AF161" s="2"/>
      <c r="AG161" s="2"/>
      <c r="AH161" s="2"/>
      <c r="AI161" s="2"/>
      <c r="AM161" s="14"/>
      <c r="AN161" s="14"/>
      <c r="AO161" s="14"/>
      <c r="AP161" s="14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3"/>
      <c r="AF162" s="2"/>
      <c r="AG162" s="2"/>
      <c r="AH162" s="2"/>
      <c r="AI162" s="2"/>
      <c r="AM162" s="14"/>
      <c r="AN162" s="14"/>
      <c r="AO162" s="14"/>
      <c r="AP162" s="14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3"/>
      <c r="AF163" s="2"/>
      <c r="AG163" s="2"/>
      <c r="AH163" s="2"/>
      <c r="AI163" s="2"/>
      <c r="AM163" s="14"/>
      <c r="AN163" s="14"/>
      <c r="AO163" s="14"/>
      <c r="AP163" s="14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3"/>
      <c r="AF164" s="2"/>
      <c r="AG164" s="2"/>
      <c r="AH164" s="2"/>
      <c r="AI164" s="2"/>
      <c r="AM164" s="14"/>
      <c r="AN164" s="14"/>
      <c r="AO164" s="14"/>
      <c r="AP164" s="14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3"/>
      <c r="AF165" s="2"/>
      <c r="AG165" s="2"/>
      <c r="AH165" s="2"/>
      <c r="AI165" s="2"/>
      <c r="AM165" s="14"/>
      <c r="AN165" s="14"/>
      <c r="AO165" s="14"/>
      <c r="AP165" s="14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3"/>
      <c r="AF166" s="2"/>
      <c r="AG166" s="2"/>
      <c r="AH166" s="2"/>
      <c r="AI166" s="2"/>
      <c r="AM166" s="14"/>
      <c r="AN166" s="14"/>
      <c r="AO166" s="14"/>
      <c r="AP166" s="14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3"/>
      <c r="AF167" s="2"/>
      <c r="AG167" s="2"/>
      <c r="AH167" s="2"/>
      <c r="AI167" s="2"/>
      <c r="AM167" s="14"/>
      <c r="AN167" s="14"/>
      <c r="AO167" s="14"/>
      <c r="AP167" s="14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3"/>
      <c r="AF168" s="2"/>
      <c r="AG168" s="2"/>
      <c r="AH168" s="2"/>
      <c r="AI168" s="2"/>
      <c r="AM168" s="14"/>
      <c r="AN168" s="14"/>
      <c r="AO168" s="14"/>
      <c r="AP168" s="14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3"/>
      <c r="AF169" s="2"/>
      <c r="AG169" s="2"/>
      <c r="AH169" s="2"/>
      <c r="AI169" s="2"/>
      <c r="AM169" s="14"/>
      <c r="AN169" s="14"/>
      <c r="AO169" s="14"/>
      <c r="AP169" s="14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3"/>
      <c r="AF170" s="2"/>
      <c r="AG170" s="2"/>
      <c r="AH170" s="2"/>
      <c r="AI170" s="2"/>
      <c r="AM170" s="14"/>
      <c r="AN170" s="14"/>
      <c r="AO170" s="14"/>
      <c r="AP170" s="14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3"/>
      <c r="AF171" s="2"/>
      <c r="AG171" s="2"/>
      <c r="AH171" s="2"/>
      <c r="AI171" s="2"/>
      <c r="AM171" s="14"/>
      <c r="AN171" s="14"/>
      <c r="AO171" s="14"/>
      <c r="AP171" s="14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3"/>
      <c r="AF172" s="2"/>
      <c r="AG172" s="2"/>
      <c r="AH172" s="2"/>
      <c r="AI172" s="2"/>
      <c r="AM172" s="14"/>
      <c r="AN172" s="14"/>
      <c r="AO172" s="14"/>
      <c r="AP172" s="14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3"/>
      <c r="AF173" s="2"/>
      <c r="AG173" s="2"/>
      <c r="AH173" s="2"/>
      <c r="AI173" s="2"/>
      <c r="AM173" s="14"/>
      <c r="AN173" s="14"/>
      <c r="AO173" s="14"/>
      <c r="AP173" s="14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3"/>
      <c r="AF174" s="2"/>
      <c r="AG174" s="2"/>
      <c r="AH174" s="2"/>
      <c r="AI174" s="2"/>
      <c r="AM174" s="14"/>
      <c r="AN174" s="14"/>
      <c r="AO174" s="14"/>
      <c r="AP174" s="14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3"/>
      <c r="AF175" s="2"/>
      <c r="AG175" s="2"/>
      <c r="AH175" s="2"/>
      <c r="AI175" s="2"/>
      <c r="AM175" s="14"/>
      <c r="AN175" s="14"/>
      <c r="AO175" s="14"/>
      <c r="AP175" s="14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3"/>
      <c r="AF176" s="2"/>
      <c r="AG176" s="2"/>
      <c r="AH176" s="2"/>
      <c r="AI176" s="2"/>
      <c r="AM176" s="14"/>
      <c r="AN176" s="14"/>
      <c r="AO176" s="14"/>
      <c r="AP176" s="14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3"/>
      <c r="AF177" s="2"/>
      <c r="AG177" s="2"/>
      <c r="AH177" s="2"/>
      <c r="AI177" s="2"/>
      <c r="AM177" s="14"/>
      <c r="AN177" s="14"/>
      <c r="AO177" s="14"/>
      <c r="AP177" s="14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3"/>
      <c r="AF178" s="2"/>
      <c r="AG178" s="2"/>
      <c r="AH178" s="2"/>
      <c r="AI178" s="2"/>
      <c r="AM178" s="14"/>
      <c r="AN178" s="14"/>
      <c r="AO178" s="14"/>
      <c r="AP178" s="14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3"/>
      <c r="AF179" s="2"/>
      <c r="AG179" s="2"/>
      <c r="AH179" s="2"/>
      <c r="AI179" s="2"/>
      <c r="AM179" s="14"/>
      <c r="AN179" s="14"/>
      <c r="AO179" s="14"/>
      <c r="AP179" s="14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3"/>
      <c r="AF180" s="2"/>
      <c r="AG180" s="2"/>
      <c r="AH180" s="2"/>
      <c r="AI180" s="2"/>
      <c r="AM180" s="14"/>
      <c r="AN180" s="14"/>
      <c r="AO180" s="14"/>
      <c r="AP180" s="14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3"/>
      <c r="AF181" s="2"/>
      <c r="AG181" s="2"/>
      <c r="AH181" s="2"/>
      <c r="AI181" s="2"/>
      <c r="AM181" s="14"/>
      <c r="AN181" s="14"/>
      <c r="AO181" s="14"/>
      <c r="AP181" s="14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3"/>
      <c r="AF182" s="2"/>
      <c r="AG182" s="2"/>
      <c r="AH182" s="2"/>
      <c r="AI182" s="2"/>
      <c r="AM182" s="14"/>
      <c r="AN182" s="14"/>
      <c r="AO182" s="14"/>
      <c r="AP182" s="14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3"/>
      <c r="AF183" s="2"/>
      <c r="AG183" s="2"/>
      <c r="AH183" s="2"/>
      <c r="AI183" s="2"/>
      <c r="AM183" s="14"/>
      <c r="AN183" s="14"/>
      <c r="AO183" s="14"/>
      <c r="AP183" s="14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3"/>
      <c r="AF184" s="2"/>
      <c r="AG184" s="2"/>
      <c r="AH184" s="2"/>
      <c r="AI184" s="2"/>
      <c r="AM184" s="14"/>
      <c r="AN184" s="14"/>
      <c r="AO184" s="14"/>
      <c r="AP184" s="14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3"/>
      <c r="AF185" s="2"/>
      <c r="AG185" s="2"/>
      <c r="AH185" s="2"/>
      <c r="AI185" s="2"/>
      <c r="AM185" s="14"/>
      <c r="AN185" s="14"/>
      <c r="AO185" s="14"/>
      <c r="AP185" s="14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3"/>
      <c r="AF186" s="2"/>
      <c r="AG186" s="2"/>
      <c r="AH186" s="2"/>
      <c r="AI186" s="2"/>
      <c r="AM186" s="14"/>
      <c r="AN186" s="14"/>
      <c r="AO186" s="14"/>
      <c r="AP186" s="14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3"/>
      <c r="AF187" s="2"/>
      <c r="AG187" s="2"/>
      <c r="AH187" s="2"/>
      <c r="AI187" s="2"/>
      <c r="AM187" s="14"/>
      <c r="AN187" s="14"/>
      <c r="AO187" s="14"/>
      <c r="AP187" s="14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3"/>
      <c r="AF188" s="2"/>
      <c r="AG188" s="2"/>
      <c r="AH188" s="2"/>
      <c r="AI188" s="2"/>
      <c r="AM188" s="14"/>
      <c r="AN188" s="14"/>
      <c r="AO188" s="14"/>
      <c r="AP188" s="14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3"/>
      <c r="AF189" s="2"/>
      <c r="AG189" s="2"/>
      <c r="AH189" s="2"/>
      <c r="AI189" s="2"/>
      <c r="AM189" s="14"/>
      <c r="AN189" s="14"/>
      <c r="AO189" s="14"/>
      <c r="AP189" s="14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3"/>
      <c r="AF190" s="2"/>
      <c r="AG190" s="2"/>
      <c r="AH190" s="2"/>
      <c r="AI190" s="2"/>
      <c r="AM190" s="14"/>
      <c r="AN190" s="14"/>
      <c r="AO190" s="14"/>
      <c r="AP190" s="14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3"/>
      <c r="AF191" s="2"/>
      <c r="AG191" s="2"/>
      <c r="AH191" s="2"/>
      <c r="AI191" s="2"/>
      <c r="AM191" s="14"/>
      <c r="AN191" s="14"/>
      <c r="AO191" s="14"/>
      <c r="AP191" s="14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3"/>
      <c r="AF192" s="2"/>
      <c r="AG192" s="2"/>
      <c r="AH192" s="2"/>
      <c r="AI192" s="2"/>
      <c r="AM192" s="14"/>
      <c r="AN192" s="14"/>
      <c r="AO192" s="14"/>
      <c r="AP192" s="14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3"/>
      <c r="AF193" s="2"/>
      <c r="AG193" s="2"/>
      <c r="AH193" s="2"/>
      <c r="AI193" s="2"/>
      <c r="AM193" s="14"/>
      <c r="AN193" s="14"/>
      <c r="AO193" s="14"/>
      <c r="AP193" s="14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3"/>
      <c r="AF194" s="2"/>
      <c r="AG194" s="2"/>
      <c r="AH194" s="2"/>
      <c r="AI194" s="2"/>
      <c r="AM194" s="14"/>
      <c r="AN194" s="14"/>
      <c r="AO194" s="14"/>
      <c r="AP194" s="14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3"/>
      <c r="AF195" s="2"/>
      <c r="AG195" s="2"/>
      <c r="AH195" s="2"/>
      <c r="AI195" s="2"/>
      <c r="AM195" s="14"/>
      <c r="AN195" s="14"/>
      <c r="AO195" s="14"/>
      <c r="AP195" s="14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3"/>
      <c r="AF196" s="2"/>
      <c r="AG196" s="2"/>
      <c r="AH196" s="2"/>
      <c r="AI196" s="2"/>
      <c r="AM196" s="14"/>
      <c r="AN196" s="14"/>
      <c r="AO196" s="14"/>
      <c r="AP196" s="14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3"/>
      <c r="AF197" s="2"/>
      <c r="AG197" s="2"/>
      <c r="AH197" s="2"/>
      <c r="AI197" s="2"/>
      <c r="AM197" s="14"/>
      <c r="AN197" s="14"/>
      <c r="AO197" s="14"/>
      <c r="AP197" s="14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3"/>
      <c r="AF198" s="2"/>
      <c r="AG198" s="2"/>
      <c r="AH198" s="2"/>
      <c r="AI198" s="2"/>
      <c r="AM198" s="14"/>
      <c r="AN198" s="14"/>
      <c r="AO198" s="14"/>
      <c r="AP198" s="14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3"/>
      <c r="AF199" s="2"/>
      <c r="AG199" s="2"/>
      <c r="AH199" s="2"/>
      <c r="AI199" s="2"/>
      <c r="AM199" s="14"/>
      <c r="AN199" s="14"/>
      <c r="AO199" s="14"/>
      <c r="AP199" s="14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3"/>
      <c r="AF200" s="2"/>
      <c r="AG200" s="2"/>
      <c r="AH200" s="2"/>
      <c r="AI200" s="2"/>
      <c r="AM200" s="14"/>
      <c r="AN200" s="14"/>
      <c r="AO200" s="14"/>
      <c r="AP200" s="14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3"/>
      <c r="AF201" s="2"/>
      <c r="AG201" s="2"/>
      <c r="AH201" s="2"/>
      <c r="AI201" s="2"/>
      <c r="AM201" s="14"/>
      <c r="AN201" s="14"/>
      <c r="AO201" s="14"/>
      <c r="AP201" s="14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3"/>
      <c r="AF202" s="2"/>
      <c r="AG202" s="2"/>
      <c r="AH202" s="2"/>
      <c r="AI202" s="2"/>
      <c r="AM202" s="14"/>
      <c r="AN202" s="14"/>
      <c r="AO202" s="14"/>
      <c r="AP202" s="14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3"/>
      <c r="AF203" s="2"/>
      <c r="AG203" s="2"/>
      <c r="AH203" s="2"/>
      <c r="AI203" s="2"/>
      <c r="AM203" s="14"/>
      <c r="AN203" s="14"/>
      <c r="AO203" s="14"/>
      <c r="AP203" s="14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3"/>
      <c r="AF204" s="2"/>
      <c r="AG204" s="2"/>
      <c r="AH204" s="2"/>
      <c r="AI204" s="2"/>
      <c r="AM204" s="14"/>
      <c r="AN204" s="14"/>
      <c r="AO204" s="14"/>
      <c r="AP204" s="14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3"/>
      <c r="AF205" s="2"/>
      <c r="AG205" s="2"/>
      <c r="AH205" s="2"/>
      <c r="AI205" s="2"/>
      <c r="AM205" s="14"/>
      <c r="AN205" s="14"/>
      <c r="AO205" s="14"/>
      <c r="AP205" s="14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3"/>
      <c r="AF206" s="2"/>
      <c r="AG206" s="2"/>
      <c r="AH206" s="2"/>
      <c r="AI206" s="2"/>
      <c r="AM206" s="14"/>
      <c r="AN206" s="14"/>
      <c r="AO206" s="14"/>
      <c r="AP206" s="14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3"/>
      <c r="AF207" s="2"/>
      <c r="AG207" s="2"/>
      <c r="AH207" s="2"/>
      <c r="AI207" s="2"/>
      <c r="AM207" s="14"/>
      <c r="AN207" s="14"/>
      <c r="AO207" s="14"/>
      <c r="AP207" s="14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3"/>
      <c r="AF208" s="2"/>
      <c r="AG208" s="2"/>
      <c r="AH208" s="2"/>
      <c r="AI208" s="2"/>
      <c r="AM208" s="14"/>
      <c r="AN208" s="14"/>
      <c r="AO208" s="14"/>
      <c r="AP208" s="14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3"/>
      <c r="AF209" s="2"/>
      <c r="AG209" s="2"/>
      <c r="AH209" s="2"/>
      <c r="AI209" s="2"/>
      <c r="AM209" s="14"/>
      <c r="AN209" s="14"/>
      <c r="AO209" s="14"/>
      <c r="AP209" s="14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3"/>
      <c r="AF210" s="2"/>
      <c r="AG210" s="2"/>
      <c r="AH210" s="2"/>
      <c r="AI210" s="2"/>
      <c r="AM210" s="14"/>
      <c r="AN210" s="14"/>
      <c r="AO210" s="14"/>
      <c r="AP210" s="14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3"/>
      <c r="AF211" s="2"/>
      <c r="AG211" s="2"/>
      <c r="AH211" s="2"/>
      <c r="AI211" s="2"/>
      <c r="AM211" s="14"/>
      <c r="AN211" s="14"/>
      <c r="AO211" s="14"/>
      <c r="AP211" s="14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3"/>
      <c r="AF212" s="2"/>
      <c r="AG212" s="2"/>
      <c r="AH212" s="2"/>
      <c r="AI212" s="2"/>
      <c r="AM212" s="14"/>
      <c r="AN212" s="14"/>
      <c r="AO212" s="14"/>
      <c r="AP212" s="14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3"/>
      <c r="AF213" s="2"/>
      <c r="AG213" s="2"/>
      <c r="AH213" s="2"/>
      <c r="AI213" s="2"/>
      <c r="AM213" s="14"/>
      <c r="AN213" s="14"/>
      <c r="AO213" s="14"/>
      <c r="AP213" s="14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3"/>
      <c r="AF214" s="2"/>
      <c r="AG214" s="2"/>
      <c r="AH214" s="2"/>
      <c r="AI214" s="2"/>
      <c r="AM214" s="14"/>
      <c r="AN214" s="14"/>
      <c r="AO214" s="14"/>
      <c r="AP214" s="14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3"/>
      <c r="AF215" s="2"/>
      <c r="AG215" s="2"/>
      <c r="AH215" s="2"/>
      <c r="AI215" s="2"/>
      <c r="AM215" s="14"/>
      <c r="AN215" s="14"/>
      <c r="AO215" s="14"/>
      <c r="AP215" s="14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3"/>
      <c r="AF216" s="2"/>
      <c r="AG216" s="2"/>
      <c r="AH216" s="2"/>
      <c r="AI216" s="2"/>
      <c r="AM216" s="14"/>
      <c r="AN216" s="14"/>
      <c r="AO216" s="14"/>
      <c r="AP216" s="14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3"/>
      <c r="AF217" s="2"/>
      <c r="AG217" s="2"/>
      <c r="AH217" s="2"/>
      <c r="AI217" s="2"/>
      <c r="AM217" s="14"/>
      <c r="AN217" s="14"/>
      <c r="AO217" s="14"/>
      <c r="AP217" s="14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3"/>
      <c r="AF218" s="2"/>
      <c r="AG218" s="2"/>
      <c r="AH218" s="2"/>
      <c r="AI218" s="2"/>
      <c r="AM218" s="14"/>
      <c r="AN218" s="14"/>
      <c r="AO218" s="14"/>
      <c r="AP218" s="14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3"/>
      <c r="AF219" s="2"/>
      <c r="AG219" s="2"/>
      <c r="AH219" s="2"/>
      <c r="AI219" s="2"/>
      <c r="AM219" s="14"/>
      <c r="AN219" s="14"/>
      <c r="AO219" s="14"/>
      <c r="AP219" s="14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3"/>
      <c r="AF220" s="2"/>
      <c r="AG220" s="2"/>
      <c r="AH220" s="2"/>
      <c r="AI220" s="2"/>
      <c r="AM220" s="14"/>
      <c r="AN220" s="14"/>
      <c r="AO220" s="14"/>
      <c r="AP220" s="14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3"/>
      <c r="AF221" s="2"/>
      <c r="AG221" s="2"/>
      <c r="AH221" s="2"/>
      <c r="AI221" s="2"/>
      <c r="AM221" s="14"/>
      <c r="AN221" s="14"/>
      <c r="AO221" s="14"/>
      <c r="AP221" s="14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3"/>
      <c r="AF222" s="2"/>
      <c r="AG222" s="2"/>
      <c r="AH222" s="2"/>
      <c r="AI222" s="2"/>
      <c r="AM222" s="14"/>
      <c r="AN222" s="14"/>
      <c r="AO222" s="14"/>
      <c r="AP222" s="14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3"/>
      <c r="AF223" s="2"/>
      <c r="AG223" s="2"/>
      <c r="AH223" s="2"/>
      <c r="AI223" s="2"/>
      <c r="AM223" s="14"/>
      <c r="AN223" s="14"/>
      <c r="AO223" s="14"/>
      <c r="AP223" s="14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3"/>
      <c r="AF224" s="2"/>
      <c r="AG224" s="2"/>
      <c r="AH224" s="2"/>
      <c r="AI224" s="2"/>
      <c r="AM224" s="14"/>
      <c r="AN224" s="14"/>
      <c r="AO224" s="14"/>
      <c r="AP224" s="14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3"/>
      <c r="AF225" s="2"/>
      <c r="AG225" s="2"/>
      <c r="AH225" s="2"/>
      <c r="AI225" s="2"/>
      <c r="AM225" s="14"/>
      <c r="AN225" s="14"/>
      <c r="AO225" s="14"/>
      <c r="AP225" s="14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3"/>
      <c r="AF226" s="2"/>
      <c r="AG226" s="2"/>
      <c r="AH226" s="2"/>
      <c r="AI226" s="2"/>
      <c r="AM226" s="14"/>
      <c r="AN226" s="14"/>
      <c r="AO226" s="14"/>
      <c r="AP226" s="14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3"/>
      <c r="AF227" s="2"/>
      <c r="AG227" s="2"/>
      <c r="AH227" s="2"/>
      <c r="AI227" s="2"/>
      <c r="AM227" s="14"/>
      <c r="AN227" s="14"/>
      <c r="AO227" s="14"/>
      <c r="AP227" s="14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3"/>
      <c r="AF228" s="2"/>
      <c r="AG228" s="2"/>
      <c r="AH228" s="2"/>
      <c r="AI228" s="2"/>
      <c r="AM228" s="14"/>
      <c r="AN228" s="14"/>
      <c r="AO228" s="14"/>
      <c r="AP228" s="14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3"/>
      <c r="AF229" s="2"/>
      <c r="AG229" s="2"/>
      <c r="AH229" s="2"/>
      <c r="AI229" s="2"/>
      <c r="AM229" s="14"/>
      <c r="AN229" s="14"/>
      <c r="AO229" s="14"/>
      <c r="AP229" s="14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3"/>
      <c r="AF230" s="2"/>
      <c r="AG230" s="2"/>
      <c r="AH230" s="2"/>
      <c r="AI230" s="2"/>
      <c r="AM230" s="14"/>
      <c r="AN230" s="14"/>
      <c r="AO230" s="14"/>
      <c r="AP230" s="14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3"/>
      <c r="AF231" s="2"/>
      <c r="AG231" s="2"/>
      <c r="AH231" s="2"/>
      <c r="AI231" s="2"/>
      <c r="AM231" s="14"/>
      <c r="AN231" s="14"/>
      <c r="AO231" s="14"/>
      <c r="AP231" s="14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3"/>
      <c r="AF232" s="2"/>
      <c r="AG232" s="2"/>
      <c r="AH232" s="2"/>
      <c r="AI232" s="2"/>
      <c r="AM232" s="14"/>
      <c r="AN232" s="14"/>
      <c r="AO232" s="14"/>
      <c r="AP232" s="14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3"/>
      <c r="AF233" s="2"/>
      <c r="AG233" s="2"/>
      <c r="AH233" s="2"/>
      <c r="AI233" s="2"/>
      <c r="AM233" s="14"/>
      <c r="AN233" s="14"/>
      <c r="AO233" s="14"/>
      <c r="AP233" s="14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3"/>
      <c r="AF234" s="2"/>
      <c r="AG234" s="2"/>
      <c r="AH234" s="2"/>
      <c r="AI234" s="2"/>
      <c r="AM234" s="14"/>
      <c r="AN234" s="14"/>
      <c r="AO234" s="14"/>
      <c r="AP234" s="14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3"/>
      <c r="AF235" s="2"/>
      <c r="AG235" s="2"/>
      <c r="AH235" s="2"/>
      <c r="AI235" s="2"/>
      <c r="AM235" s="14"/>
      <c r="AN235" s="14"/>
      <c r="AO235" s="14"/>
      <c r="AP235" s="14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3"/>
      <c r="AF236" s="2"/>
      <c r="AG236" s="2"/>
      <c r="AH236" s="2"/>
      <c r="AI236" s="2"/>
      <c r="AM236" s="14"/>
      <c r="AN236" s="14"/>
      <c r="AO236" s="14"/>
      <c r="AP236" s="14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3"/>
      <c r="AF237" s="2"/>
      <c r="AG237" s="2"/>
      <c r="AH237" s="2"/>
      <c r="AI237" s="2"/>
      <c r="AM237" s="14"/>
      <c r="AN237" s="14"/>
      <c r="AO237" s="14"/>
      <c r="AP237" s="14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3"/>
      <c r="AF238" s="2"/>
      <c r="AG238" s="2"/>
      <c r="AH238" s="2"/>
      <c r="AI238" s="2"/>
      <c r="AM238" s="14"/>
      <c r="AN238" s="14"/>
      <c r="AO238" s="14"/>
      <c r="AP238" s="14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3"/>
      <c r="AF239" s="2"/>
      <c r="AG239" s="2"/>
      <c r="AH239" s="2"/>
      <c r="AI239" s="2"/>
      <c r="AM239" s="14"/>
      <c r="AN239" s="14"/>
      <c r="AO239" s="14"/>
      <c r="AP239" s="14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3"/>
      <c r="AF240" s="2"/>
      <c r="AG240" s="2"/>
      <c r="AH240" s="2"/>
      <c r="AI240" s="2"/>
      <c r="AM240" s="14"/>
      <c r="AN240" s="14"/>
      <c r="AO240" s="14"/>
      <c r="AP240" s="14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3"/>
      <c r="AF241" s="2"/>
      <c r="AG241" s="2"/>
      <c r="AH241" s="2"/>
      <c r="AI241" s="2"/>
      <c r="AM241" s="14"/>
      <c r="AN241" s="14"/>
      <c r="AO241" s="14"/>
      <c r="AP241" s="14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3"/>
      <c r="AF242" s="2"/>
      <c r="AG242" s="2"/>
      <c r="AH242" s="2"/>
      <c r="AI242" s="2"/>
      <c r="AM242" s="14"/>
      <c r="AN242" s="14"/>
      <c r="AO242" s="14"/>
      <c r="AP242" s="14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3"/>
      <c r="AF243" s="2"/>
      <c r="AG243" s="2"/>
      <c r="AH243" s="2"/>
      <c r="AI243" s="2"/>
      <c r="AM243" s="14"/>
      <c r="AN243" s="14"/>
      <c r="AO243" s="14"/>
      <c r="AP243" s="14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3"/>
      <c r="AF244" s="2"/>
      <c r="AG244" s="2"/>
      <c r="AH244" s="2"/>
      <c r="AI244" s="2"/>
      <c r="AM244" s="14"/>
      <c r="AN244" s="14"/>
      <c r="AO244" s="14"/>
      <c r="AP244" s="14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3"/>
      <c r="AF245" s="2"/>
      <c r="AG245" s="2"/>
      <c r="AH245" s="2"/>
      <c r="AI245" s="2"/>
      <c r="AM245" s="14"/>
      <c r="AN245" s="14"/>
      <c r="AO245" s="14"/>
      <c r="AP245" s="14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3"/>
      <c r="AF246" s="2"/>
      <c r="AG246" s="2"/>
      <c r="AH246" s="2"/>
      <c r="AI246" s="2"/>
      <c r="AM246" s="14"/>
      <c r="AN246" s="14"/>
      <c r="AO246" s="14"/>
      <c r="AP246" s="14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3"/>
      <c r="AF247" s="2"/>
      <c r="AG247" s="2"/>
      <c r="AH247" s="2"/>
      <c r="AI247" s="2"/>
      <c r="AM247" s="14"/>
      <c r="AN247" s="14"/>
      <c r="AO247" s="14"/>
      <c r="AP247" s="14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3"/>
      <c r="AF248" s="2"/>
      <c r="AG248" s="2"/>
      <c r="AH248" s="2"/>
      <c r="AI248" s="2"/>
      <c r="AM248" s="14"/>
      <c r="AN248" s="14"/>
      <c r="AO248" s="14"/>
      <c r="AP248" s="14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3"/>
      <c r="AF249" s="2"/>
      <c r="AG249" s="2"/>
      <c r="AH249" s="2"/>
      <c r="AI249" s="2"/>
      <c r="AM249" s="14"/>
      <c r="AN249" s="14"/>
      <c r="AO249" s="14"/>
      <c r="AP249" s="14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3"/>
      <c r="AF250" s="2"/>
      <c r="AG250" s="2"/>
      <c r="AH250" s="2"/>
      <c r="AI250" s="2"/>
      <c r="AM250" s="14"/>
      <c r="AN250" s="14"/>
      <c r="AO250" s="14"/>
      <c r="AP250" s="14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3"/>
      <c r="AF251" s="2"/>
      <c r="AG251" s="2"/>
      <c r="AH251" s="2"/>
      <c r="AI251" s="2"/>
      <c r="AM251" s="14"/>
      <c r="AN251" s="14"/>
      <c r="AO251" s="14"/>
      <c r="AP251" s="14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3"/>
      <c r="AF252" s="2"/>
      <c r="AG252" s="2"/>
      <c r="AH252" s="2"/>
      <c r="AI252" s="2"/>
      <c r="AM252" s="14"/>
      <c r="AN252" s="14"/>
      <c r="AO252" s="14"/>
      <c r="AP252" s="14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3"/>
      <c r="AF253" s="2"/>
      <c r="AG253" s="2"/>
      <c r="AH253" s="2"/>
      <c r="AI253" s="2"/>
      <c r="AM253" s="14"/>
      <c r="AN253" s="14"/>
      <c r="AO253" s="14"/>
      <c r="AP253" s="14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3"/>
      <c r="AF254" s="2"/>
      <c r="AG254" s="2"/>
      <c r="AH254" s="2"/>
      <c r="AI254" s="2"/>
      <c r="AM254" s="14"/>
      <c r="AN254" s="14"/>
      <c r="AO254" s="14"/>
      <c r="AP254" s="14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3"/>
      <c r="AF255" s="2"/>
      <c r="AG255" s="2"/>
      <c r="AH255" s="2"/>
      <c r="AI255" s="2"/>
      <c r="AM255" s="14"/>
      <c r="AN255" s="14"/>
      <c r="AO255" s="14"/>
      <c r="AP255" s="14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3"/>
      <c r="AF256" s="2"/>
      <c r="AG256" s="2"/>
      <c r="AH256" s="2"/>
      <c r="AI256" s="2"/>
      <c r="AM256" s="14"/>
      <c r="AN256" s="14"/>
      <c r="AO256" s="14"/>
      <c r="AP256" s="14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3"/>
      <c r="AF257" s="2"/>
      <c r="AG257" s="2"/>
      <c r="AH257" s="2"/>
      <c r="AI257" s="2"/>
      <c r="AM257" s="14"/>
      <c r="AN257" s="14"/>
      <c r="AO257" s="14"/>
      <c r="AP257" s="14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3"/>
      <c r="AF258" s="2"/>
      <c r="AG258" s="2"/>
      <c r="AH258" s="2"/>
      <c r="AI258" s="2"/>
      <c r="AM258" s="14"/>
      <c r="AN258" s="14"/>
      <c r="AO258" s="14"/>
      <c r="AP258" s="14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3"/>
      <c r="AF259" s="2"/>
      <c r="AG259" s="2"/>
      <c r="AH259" s="2"/>
      <c r="AI259" s="2"/>
      <c r="AM259" s="14"/>
      <c r="AN259" s="14"/>
      <c r="AO259" s="14"/>
      <c r="AP259" s="14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3"/>
      <c r="AF260" s="2"/>
      <c r="AG260" s="2"/>
      <c r="AH260" s="2"/>
      <c r="AI260" s="2"/>
      <c r="AM260" s="14"/>
      <c r="AN260" s="14"/>
      <c r="AO260" s="14"/>
      <c r="AP260" s="14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3"/>
      <c r="AF261" s="2"/>
      <c r="AG261" s="2"/>
      <c r="AH261" s="2"/>
      <c r="AI261" s="2"/>
      <c r="AM261" s="14"/>
      <c r="AN261" s="14"/>
      <c r="AO261" s="14"/>
      <c r="AP261" s="14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3"/>
      <c r="AF262" s="2"/>
      <c r="AG262" s="2"/>
      <c r="AH262" s="2"/>
      <c r="AI262" s="2"/>
      <c r="AM262" s="14"/>
      <c r="AN262" s="14"/>
      <c r="AO262" s="14"/>
      <c r="AP262" s="14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3"/>
      <c r="AF263" s="2"/>
      <c r="AG263" s="2"/>
      <c r="AH263" s="2"/>
      <c r="AI263" s="2"/>
      <c r="AM263" s="14"/>
      <c r="AN263" s="14"/>
      <c r="AO263" s="14"/>
      <c r="AP263" s="14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3"/>
      <c r="AF264" s="2"/>
      <c r="AG264" s="2"/>
      <c r="AH264" s="2"/>
      <c r="AI264" s="2"/>
      <c r="AM264" s="14"/>
      <c r="AN264" s="14"/>
      <c r="AO264" s="14"/>
      <c r="AP264" s="14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3"/>
      <c r="AF265" s="2"/>
      <c r="AG265" s="2"/>
      <c r="AH265" s="2"/>
      <c r="AI265" s="2"/>
      <c r="AM265" s="14"/>
      <c r="AN265" s="14"/>
      <c r="AO265" s="14"/>
      <c r="AP265" s="14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3"/>
      <c r="AF266" s="2"/>
      <c r="AG266" s="2"/>
      <c r="AH266" s="2"/>
      <c r="AI266" s="2"/>
      <c r="AM266" s="14"/>
      <c r="AN266" s="14"/>
      <c r="AO266" s="14"/>
      <c r="AP266" s="14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3"/>
      <c r="AF267" s="2"/>
      <c r="AG267" s="2"/>
      <c r="AH267" s="2"/>
      <c r="AI267" s="2"/>
      <c r="AM267" s="14"/>
      <c r="AN267" s="14"/>
      <c r="AO267" s="14"/>
      <c r="AP267" s="14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3"/>
      <c r="AF268" s="2"/>
      <c r="AG268" s="2"/>
      <c r="AH268" s="2"/>
      <c r="AI268" s="2"/>
      <c r="AM268" s="14"/>
      <c r="AN268" s="14"/>
      <c r="AO268" s="14"/>
      <c r="AP268" s="14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3"/>
      <c r="AF269" s="2"/>
      <c r="AG269" s="2"/>
      <c r="AH269" s="2"/>
      <c r="AI269" s="2"/>
      <c r="AM269" s="14"/>
      <c r="AN269" s="14"/>
      <c r="AO269" s="14"/>
      <c r="AP269" s="14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3"/>
      <c r="AF270" s="2"/>
      <c r="AG270" s="2"/>
      <c r="AH270" s="2"/>
      <c r="AI270" s="2"/>
      <c r="AM270" s="14"/>
      <c r="AN270" s="14"/>
      <c r="AO270" s="14"/>
      <c r="AP270" s="14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3"/>
      <c r="AF271" s="2"/>
      <c r="AG271" s="2"/>
      <c r="AH271" s="2"/>
      <c r="AI271" s="2"/>
      <c r="AM271" s="14"/>
      <c r="AN271" s="14"/>
      <c r="AO271" s="14"/>
      <c r="AP271" s="14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3"/>
      <c r="AF272" s="2"/>
      <c r="AG272" s="2"/>
      <c r="AH272" s="2"/>
      <c r="AI272" s="2"/>
      <c r="AM272" s="14"/>
      <c r="AN272" s="14"/>
      <c r="AO272" s="14"/>
      <c r="AP272" s="14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3"/>
      <c r="AF273" s="2"/>
      <c r="AG273" s="2"/>
      <c r="AH273" s="2"/>
      <c r="AI273" s="2"/>
      <c r="AM273" s="14"/>
      <c r="AN273" s="14"/>
      <c r="AO273" s="14"/>
      <c r="AP273" s="14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3"/>
      <c r="AF274" s="2"/>
      <c r="AG274" s="2"/>
      <c r="AH274" s="2"/>
      <c r="AI274" s="2"/>
      <c r="AM274" s="14"/>
      <c r="AN274" s="14"/>
      <c r="AO274" s="14"/>
      <c r="AP274" s="14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3"/>
      <c r="AF275" s="2"/>
      <c r="AG275" s="2"/>
      <c r="AH275" s="2"/>
      <c r="AI275" s="2"/>
      <c r="AM275" s="14"/>
      <c r="AN275" s="14"/>
      <c r="AO275" s="14"/>
      <c r="AP275" s="14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3"/>
      <c r="AF276" s="2"/>
      <c r="AG276" s="2"/>
      <c r="AH276" s="2"/>
      <c r="AI276" s="2"/>
      <c r="AM276" s="14"/>
      <c r="AN276" s="14"/>
      <c r="AO276" s="14"/>
      <c r="AP276" s="14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3"/>
      <c r="AF277" s="2"/>
      <c r="AG277" s="2"/>
      <c r="AH277" s="2"/>
      <c r="AI277" s="2"/>
      <c r="AM277" s="14"/>
      <c r="AN277" s="14"/>
      <c r="AO277" s="14"/>
      <c r="AP277" s="14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3"/>
      <c r="AF278" s="2"/>
      <c r="AG278" s="2"/>
      <c r="AH278" s="2"/>
      <c r="AI278" s="2"/>
      <c r="AM278" s="14"/>
      <c r="AN278" s="14"/>
      <c r="AO278" s="14"/>
      <c r="AP278" s="14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3"/>
      <c r="AF279" s="2"/>
      <c r="AG279" s="2"/>
      <c r="AH279" s="2"/>
      <c r="AI279" s="2"/>
      <c r="AM279" s="14"/>
      <c r="AN279" s="14"/>
      <c r="AO279" s="14"/>
      <c r="AP279" s="14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3"/>
      <c r="AF280" s="2"/>
      <c r="AG280" s="2"/>
      <c r="AH280" s="2"/>
      <c r="AI280" s="2"/>
      <c r="AM280" s="14"/>
      <c r="AN280" s="14"/>
      <c r="AO280" s="14"/>
      <c r="AP280" s="14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3"/>
      <c r="AF281" s="2"/>
      <c r="AG281" s="2"/>
      <c r="AH281" s="2"/>
      <c r="AI281" s="2"/>
      <c r="AM281" s="14"/>
      <c r="AN281" s="14"/>
      <c r="AO281" s="14"/>
      <c r="AP281" s="14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3"/>
      <c r="AF282" s="2"/>
      <c r="AG282" s="2"/>
      <c r="AH282" s="2"/>
      <c r="AI282" s="2"/>
      <c r="AM282" s="14"/>
      <c r="AN282" s="14"/>
      <c r="AO282" s="14"/>
      <c r="AP282" s="14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3"/>
      <c r="AF283" s="2"/>
      <c r="AG283" s="2"/>
      <c r="AH283" s="2"/>
      <c r="AI283" s="2"/>
      <c r="AM283" s="14"/>
      <c r="AN283" s="14"/>
      <c r="AO283" s="14"/>
      <c r="AP283" s="14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3"/>
      <c r="AF284" s="2"/>
      <c r="AG284" s="2"/>
      <c r="AH284" s="2"/>
      <c r="AI284" s="2"/>
      <c r="AM284" s="14"/>
      <c r="AN284" s="14"/>
      <c r="AO284" s="14"/>
      <c r="AP284" s="14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3"/>
      <c r="AF285" s="2"/>
      <c r="AG285" s="2"/>
      <c r="AH285" s="2"/>
      <c r="AI285" s="2"/>
      <c r="AM285" s="14"/>
      <c r="AN285" s="14"/>
      <c r="AO285" s="14"/>
      <c r="AP285" s="14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3"/>
      <c r="AF286" s="2"/>
      <c r="AG286" s="2"/>
      <c r="AH286" s="2"/>
      <c r="AI286" s="2"/>
      <c r="AM286" s="14"/>
      <c r="AN286" s="14"/>
      <c r="AO286" s="14"/>
      <c r="AP286" s="14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3"/>
      <c r="AF287" s="2"/>
      <c r="AG287" s="2"/>
      <c r="AH287" s="2"/>
      <c r="AI287" s="2"/>
      <c r="AM287" s="14"/>
      <c r="AN287" s="14"/>
      <c r="AO287" s="14"/>
      <c r="AP287" s="14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3"/>
      <c r="AF288" s="2"/>
      <c r="AG288" s="2"/>
      <c r="AH288" s="2"/>
      <c r="AI288" s="2"/>
      <c r="AM288" s="14"/>
      <c r="AN288" s="14"/>
      <c r="AO288" s="14"/>
      <c r="AP288" s="14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3"/>
      <c r="AF289" s="2"/>
      <c r="AG289" s="2"/>
      <c r="AH289" s="2"/>
      <c r="AI289" s="2"/>
      <c r="AM289" s="14"/>
      <c r="AN289" s="14"/>
      <c r="AO289" s="14"/>
      <c r="AP289" s="14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3"/>
      <c r="AF290" s="2"/>
      <c r="AG290" s="2"/>
      <c r="AH290" s="2"/>
      <c r="AI290" s="2"/>
      <c r="AM290" s="14"/>
      <c r="AN290" s="14"/>
      <c r="AO290" s="14"/>
      <c r="AP290" s="14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3"/>
      <c r="AF291" s="2"/>
      <c r="AG291" s="2"/>
      <c r="AH291" s="2"/>
      <c r="AI291" s="2"/>
      <c r="AM291" s="14"/>
      <c r="AN291" s="14"/>
      <c r="AO291" s="14"/>
      <c r="AP291" s="14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3"/>
      <c r="AF292" s="2"/>
      <c r="AG292" s="2"/>
      <c r="AH292" s="2"/>
      <c r="AI292" s="2"/>
      <c r="AM292" s="14"/>
      <c r="AN292" s="14"/>
      <c r="AO292" s="14"/>
      <c r="AP292" s="14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3"/>
      <c r="AF293" s="2"/>
      <c r="AG293" s="2"/>
      <c r="AH293" s="2"/>
      <c r="AI293" s="2"/>
      <c r="AM293" s="14"/>
      <c r="AN293" s="14"/>
      <c r="AO293" s="14"/>
      <c r="AP293" s="14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3"/>
      <c r="AF294" s="2"/>
      <c r="AG294" s="2"/>
      <c r="AH294" s="2"/>
      <c r="AI294" s="2"/>
      <c r="AM294" s="14"/>
      <c r="AN294" s="14"/>
      <c r="AO294" s="14"/>
      <c r="AP294" s="14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3"/>
      <c r="AF295" s="2"/>
      <c r="AG295" s="2"/>
      <c r="AH295" s="2"/>
      <c r="AI295" s="2"/>
      <c r="AM295" s="14"/>
      <c r="AN295" s="14"/>
      <c r="AO295" s="14"/>
      <c r="AP295" s="14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3"/>
      <c r="AF296" s="2"/>
      <c r="AG296" s="2"/>
      <c r="AH296" s="2"/>
      <c r="AI296" s="2"/>
      <c r="AM296" s="14"/>
      <c r="AN296" s="14"/>
      <c r="AO296" s="14"/>
      <c r="AP296" s="14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3"/>
      <c r="AF297" s="2"/>
      <c r="AG297" s="2"/>
      <c r="AH297" s="2"/>
      <c r="AI297" s="2"/>
      <c r="AM297" s="14"/>
      <c r="AN297" s="14"/>
      <c r="AO297" s="14"/>
      <c r="AP297" s="14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3"/>
      <c r="AF298" s="2"/>
      <c r="AG298" s="2"/>
      <c r="AH298" s="2"/>
      <c r="AI298" s="2"/>
      <c r="AM298" s="14"/>
      <c r="AN298" s="14"/>
      <c r="AO298" s="14"/>
      <c r="AP298" s="14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3"/>
      <c r="AF299" s="2"/>
      <c r="AG299" s="2"/>
      <c r="AH299" s="2"/>
      <c r="AI299" s="2"/>
      <c r="AM299" s="14"/>
      <c r="AN299" s="14"/>
      <c r="AO299" s="14"/>
      <c r="AP299" s="14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3"/>
      <c r="AF300" s="2"/>
      <c r="AG300" s="2"/>
      <c r="AH300" s="2"/>
      <c r="AI300" s="2"/>
      <c r="AM300" s="14"/>
      <c r="AN300" s="14"/>
      <c r="AO300" s="14"/>
      <c r="AP300" s="14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3"/>
      <c r="AF301" s="2"/>
      <c r="AG301" s="2"/>
      <c r="AH301" s="2"/>
      <c r="AI301" s="2"/>
      <c r="AM301" s="14"/>
      <c r="AN301" s="14"/>
      <c r="AO301" s="14"/>
      <c r="AP301" s="14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3"/>
      <c r="AF302" s="2"/>
      <c r="AG302" s="2"/>
      <c r="AH302" s="2"/>
      <c r="AI302" s="2"/>
      <c r="AM302" s="14"/>
      <c r="AN302" s="14"/>
      <c r="AO302" s="14"/>
      <c r="AP302" s="14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3"/>
      <c r="AF303" s="2"/>
      <c r="AG303" s="2"/>
      <c r="AH303" s="2"/>
      <c r="AI303" s="2"/>
      <c r="AM303" s="14"/>
      <c r="AN303" s="14"/>
      <c r="AO303" s="14"/>
      <c r="AP303" s="14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3"/>
      <c r="AF304" s="2"/>
      <c r="AG304" s="2"/>
      <c r="AH304" s="2"/>
      <c r="AI304" s="2"/>
      <c r="AM304" s="14"/>
      <c r="AN304" s="14"/>
      <c r="AO304" s="14"/>
      <c r="AP304" s="14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3"/>
      <c r="AF305" s="2"/>
      <c r="AG305" s="2"/>
      <c r="AH305" s="2"/>
      <c r="AI305" s="2"/>
      <c r="AM305" s="14"/>
      <c r="AN305" s="14"/>
      <c r="AO305" s="14"/>
      <c r="AP305" s="14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3"/>
      <c r="AF306" s="2"/>
      <c r="AG306" s="2"/>
      <c r="AH306" s="2"/>
      <c r="AI306" s="2"/>
      <c r="AM306" s="14"/>
      <c r="AN306" s="14"/>
      <c r="AO306" s="14"/>
      <c r="AP306" s="14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3"/>
      <c r="AF307" s="2"/>
      <c r="AG307" s="2"/>
      <c r="AH307" s="2"/>
      <c r="AI307" s="2"/>
      <c r="AM307" s="14"/>
      <c r="AN307" s="14"/>
      <c r="AO307" s="14"/>
      <c r="AP307" s="14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3"/>
      <c r="AF308" s="2"/>
      <c r="AG308" s="2"/>
      <c r="AH308" s="2"/>
      <c r="AI308" s="2"/>
      <c r="AM308" s="14"/>
      <c r="AN308" s="14"/>
      <c r="AO308" s="14"/>
      <c r="AP308" s="14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3"/>
      <c r="AF309" s="2"/>
      <c r="AG309" s="2"/>
      <c r="AH309" s="2"/>
      <c r="AI309" s="2"/>
      <c r="AM309" s="14"/>
      <c r="AN309" s="14"/>
      <c r="AO309" s="14"/>
      <c r="AP309" s="14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3"/>
      <c r="AF310" s="2"/>
      <c r="AG310" s="2"/>
      <c r="AH310" s="2"/>
      <c r="AI310" s="2"/>
      <c r="AM310" s="14"/>
      <c r="AN310" s="14"/>
      <c r="AO310" s="14"/>
      <c r="AP310" s="14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3"/>
      <c r="AF311" s="2"/>
      <c r="AG311" s="2"/>
      <c r="AH311" s="2"/>
      <c r="AI311" s="2"/>
      <c r="AM311" s="14"/>
      <c r="AN311" s="14"/>
      <c r="AO311" s="14"/>
      <c r="AP311" s="14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3"/>
      <c r="AF312" s="2"/>
      <c r="AG312" s="2"/>
      <c r="AH312" s="2"/>
      <c r="AI312" s="2"/>
      <c r="AM312" s="14"/>
      <c r="AN312" s="14"/>
      <c r="AO312" s="14"/>
      <c r="AP312" s="14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3"/>
      <c r="AF313" s="2"/>
      <c r="AG313" s="2"/>
      <c r="AH313" s="2"/>
      <c r="AI313" s="2"/>
      <c r="AM313" s="14"/>
      <c r="AN313" s="14"/>
      <c r="AO313" s="14"/>
      <c r="AP313" s="14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3"/>
      <c r="AF314" s="2"/>
      <c r="AG314" s="2"/>
      <c r="AH314" s="2"/>
      <c r="AI314" s="2"/>
      <c r="AM314" s="14"/>
      <c r="AN314" s="14"/>
      <c r="AO314" s="14"/>
      <c r="AP314" s="14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3"/>
      <c r="AF315" s="2"/>
      <c r="AG315" s="2"/>
      <c r="AH315" s="2"/>
      <c r="AI315" s="2"/>
      <c r="AM315" s="14"/>
      <c r="AN315" s="14"/>
      <c r="AO315" s="14"/>
      <c r="AP315" s="14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3"/>
      <c r="AF316" s="2"/>
      <c r="AG316" s="2"/>
      <c r="AH316" s="2"/>
      <c r="AI316" s="2"/>
      <c r="AM316" s="14"/>
      <c r="AN316" s="14"/>
      <c r="AO316" s="14"/>
      <c r="AP316" s="14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3"/>
      <c r="AF317" s="2"/>
      <c r="AG317" s="2"/>
      <c r="AH317" s="2"/>
      <c r="AI317" s="2"/>
      <c r="AM317" s="14"/>
      <c r="AN317" s="14"/>
      <c r="AO317" s="14"/>
      <c r="AP317" s="14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3"/>
      <c r="AF318" s="2"/>
      <c r="AG318" s="2"/>
      <c r="AH318" s="2"/>
      <c r="AI318" s="2"/>
      <c r="AM318" s="14"/>
      <c r="AN318" s="14"/>
      <c r="AO318" s="14"/>
      <c r="AP318" s="14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3"/>
      <c r="AF319" s="2"/>
      <c r="AG319" s="2"/>
      <c r="AH319" s="2"/>
      <c r="AI319" s="2"/>
      <c r="AM319" s="14"/>
      <c r="AN319" s="14"/>
      <c r="AO319" s="14"/>
      <c r="AP319" s="14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3"/>
      <c r="AF320" s="2"/>
      <c r="AG320" s="2"/>
      <c r="AH320" s="2"/>
      <c r="AI320" s="2"/>
      <c r="AM320" s="14"/>
      <c r="AN320" s="14"/>
      <c r="AO320" s="14"/>
      <c r="AP320" s="14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3"/>
      <c r="AF321" s="2"/>
      <c r="AG321" s="2"/>
      <c r="AH321" s="2"/>
      <c r="AI321" s="2"/>
      <c r="AM321" s="14"/>
      <c r="AN321" s="14"/>
      <c r="AO321" s="14"/>
      <c r="AP321" s="14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3"/>
      <c r="AF322" s="2"/>
      <c r="AG322" s="2"/>
      <c r="AH322" s="2"/>
      <c r="AI322" s="2"/>
      <c r="AM322" s="14"/>
      <c r="AN322" s="14"/>
      <c r="AO322" s="14"/>
      <c r="AP322" s="14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3"/>
      <c r="AF323" s="2"/>
      <c r="AG323" s="2"/>
      <c r="AH323" s="2"/>
      <c r="AI323" s="2"/>
      <c r="AM323" s="14"/>
      <c r="AN323" s="14"/>
      <c r="AO323" s="14"/>
      <c r="AP323" s="14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3"/>
      <c r="AF324" s="2"/>
      <c r="AG324" s="2"/>
      <c r="AH324" s="2"/>
      <c r="AI324" s="2"/>
      <c r="AM324" s="14"/>
      <c r="AN324" s="14"/>
      <c r="AO324" s="14"/>
      <c r="AP324" s="14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3"/>
      <c r="AF325" s="2"/>
      <c r="AG325" s="2"/>
      <c r="AH325" s="2"/>
      <c r="AI325" s="2"/>
      <c r="AM325" s="14"/>
      <c r="AN325" s="14"/>
      <c r="AO325" s="14"/>
      <c r="AP325" s="14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3"/>
      <c r="AF326" s="2"/>
      <c r="AG326" s="2"/>
      <c r="AH326" s="2"/>
      <c r="AI326" s="2"/>
      <c r="AM326" s="14"/>
      <c r="AN326" s="14"/>
      <c r="AO326" s="14"/>
      <c r="AP326" s="14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3"/>
      <c r="AF327" s="2"/>
      <c r="AG327" s="2"/>
      <c r="AH327" s="2"/>
      <c r="AI327" s="2"/>
      <c r="AM327" s="14"/>
      <c r="AN327" s="14"/>
      <c r="AO327" s="14"/>
      <c r="AP327" s="14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3"/>
      <c r="AF328" s="2"/>
      <c r="AG328" s="2"/>
      <c r="AH328" s="2"/>
      <c r="AI328" s="2"/>
      <c r="AM328" s="14"/>
      <c r="AN328" s="14"/>
      <c r="AO328" s="14"/>
      <c r="AP328" s="14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3"/>
      <c r="AF329" s="2"/>
      <c r="AG329" s="2"/>
      <c r="AH329" s="2"/>
      <c r="AI329" s="2"/>
      <c r="AM329" s="14"/>
      <c r="AN329" s="14"/>
      <c r="AO329" s="14"/>
      <c r="AP329" s="14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3"/>
      <c r="AF330" s="2"/>
      <c r="AG330" s="2"/>
      <c r="AH330" s="2"/>
      <c r="AI330" s="2"/>
      <c r="AM330" s="14"/>
      <c r="AN330" s="14"/>
      <c r="AO330" s="14"/>
      <c r="AP330" s="14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3"/>
      <c r="AF331" s="2"/>
      <c r="AG331" s="2"/>
      <c r="AH331" s="2"/>
      <c r="AI331" s="2"/>
      <c r="AM331" s="14"/>
      <c r="AN331" s="14"/>
      <c r="AO331" s="14"/>
      <c r="AP331" s="14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3"/>
      <c r="AF332" s="2"/>
      <c r="AG332" s="2"/>
      <c r="AH332" s="2"/>
      <c r="AI332" s="2"/>
      <c r="AM332" s="14"/>
      <c r="AN332" s="14"/>
      <c r="AO332" s="14"/>
      <c r="AP332" s="14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3"/>
      <c r="AF333" s="2"/>
      <c r="AG333" s="2"/>
      <c r="AH333" s="2"/>
      <c r="AI333" s="2"/>
      <c r="AM333" s="14"/>
      <c r="AN333" s="14"/>
      <c r="AO333" s="14"/>
      <c r="AP333" s="14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3"/>
      <c r="AF334" s="2"/>
      <c r="AG334" s="2"/>
      <c r="AH334" s="2"/>
      <c r="AI334" s="2"/>
      <c r="AM334" s="14"/>
      <c r="AN334" s="14"/>
      <c r="AO334" s="14"/>
      <c r="AP334" s="14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3"/>
      <c r="AF335" s="2"/>
      <c r="AG335" s="2"/>
      <c r="AH335" s="2"/>
      <c r="AI335" s="2"/>
      <c r="AM335" s="14"/>
      <c r="AN335" s="14"/>
      <c r="AO335" s="14"/>
      <c r="AP335" s="14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3"/>
      <c r="AF336" s="2"/>
      <c r="AG336" s="2"/>
      <c r="AH336" s="2"/>
      <c r="AI336" s="2"/>
      <c r="AM336" s="14"/>
      <c r="AN336" s="14"/>
      <c r="AO336" s="14"/>
      <c r="AP336" s="14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3"/>
      <c r="AF337" s="2"/>
      <c r="AG337" s="2"/>
      <c r="AH337" s="2"/>
      <c r="AI337" s="2"/>
      <c r="AM337" s="14"/>
      <c r="AN337" s="14"/>
      <c r="AO337" s="14"/>
      <c r="AP337" s="14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3"/>
      <c r="AF338" s="2"/>
      <c r="AG338" s="2"/>
      <c r="AH338" s="2"/>
      <c r="AI338" s="2"/>
      <c r="AM338" s="14"/>
      <c r="AN338" s="14"/>
      <c r="AO338" s="14"/>
      <c r="AP338" s="14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3"/>
      <c r="AF339" s="2"/>
      <c r="AG339" s="2"/>
      <c r="AH339" s="2"/>
      <c r="AI339" s="2"/>
      <c r="AM339" s="14"/>
      <c r="AN339" s="14"/>
      <c r="AO339" s="14"/>
      <c r="AP339" s="14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3"/>
      <c r="AF340" s="2"/>
      <c r="AG340" s="2"/>
      <c r="AH340" s="2"/>
      <c r="AI340" s="2"/>
      <c r="AM340" s="14"/>
      <c r="AN340" s="14"/>
      <c r="AO340" s="14"/>
      <c r="AP340" s="14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3"/>
      <c r="AF341" s="2"/>
      <c r="AG341" s="2"/>
      <c r="AH341" s="2"/>
      <c r="AI341" s="2"/>
      <c r="AM341" s="14"/>
      <c r="AN341" s="14"/>
      <c r="AO341" s="14"/>
      <c r="AP341" s="14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3"/>
      <c r="AF342" s="2"/>
      <c r="AG342" s="2"/>
      <c r="AH342" s="2"/>
      <c r="AI342" s="2"/>
      <c r="AM342" s="14"/>
      <c r="AN342" s="14"/>
      <c r="AO342" s="14"/>
      <c r="AP342" s="14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3"/>
      <c r="AF343" s="2"/>
      <c r="AG343" s="2"/>
      <c r="AH343" s="2"/>
      <c r="AI343" s="2"/>
      <c r="AM343" s="14"/>
      <c r="AN343" s="14"/>
      <c r="AO343" s="14"/>
      <c r="AP343" s="14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3"/>
      <c r="AF344" s="2"/>
      <c r="AG344" s="2"/>
      <c r="AH344" s="2"/>
      <c r="AI344" s="2"/>
      <c r="AM344" s="14"/>
      <c r="AN344" s="14"/>
      <c r="AO344" s="14"/>
      <c r="AP344" s="14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3"/>
      <c r="AF345" s="2"/>
      <c r="AG345" s="2"/>
      <c r="AH345" s="2"/>
      <c r="AI345" s="2"/>
      <c r="AM345" s="14"/>
      <c r="AN345" s="14"/>
      <c r="AO345" s="14"/>
      <c r="AP345" s="14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3"/>
      <c r="AF346" s="2"/>
      <c r="AG346" s="2"/>
      <c r="AH346" s="2"/>
      <c r="AI346" s="2"/>
      <c r="AM346" s="14"/>
      <c r="AN346" s="14"/>
      <c r="AO346" s="14"/>
      <c r="AP346" s="14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3"/>
      <c r="AF347" s="2"/>
      <c r="AG347" s="2"/>
      <c r="AH347" s="2"/>
      <c r="AI347" s="2"/>
      <c r="AM347" s="14"/>
      <c r="AN347" s="14"/>
      <c r="AO347" s="14"/>
      <c r="AP347" s="14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3"/>
      <c r="AF348" s="2"/>
      <c r="AG348" s="2"/>
      <c r="AH348" s="2"/>
      <c r="AI348" s="2"/>
      <c r="AM348" s="14"/>
      <c r="AN348" s="14"/>
      <c r="AO348" s="14"/>
      <c r="AP348" s="14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3"/>
      <c r="AF349" s="2"/>
      <c r="AG349" s="2"/>
      <c r="AH349" s="2"/>
      <c r="AI349" s="2"/>
      <c r="AM349" s="14"/>
      <c r="AN349" s="14"/>
      <c r="AO349" s="14"/>
      <c r="AP349" s="14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3"/>
      <c r="AF350" s="2"/>
      <c r="AG350" s="2"/>
      <c r="AH350" s="2"/>
      <c r="AI350" s="2"/>
      <c r="AM350" s="14"/>
      <c r="AN350" s="14"/>
      <c r="AO350" s="14"/>
      <c r="AP350" s="14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3"/>
      <c r="AF351" s="2"/>
      <c r="AG351" s="2"/>
      <c r="AH351" s="2"/>
      <c r="AI351" s="2"/>
      <c r="AM351" s="14"/>
      <c r="AN351" s="14"/>
      <c r="AO351" s="14"/>
      <c r="AP351" s="14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3"/>
      <c r="AF352" s="2"/>
      <c r="AG352" s="2"/>
      <c r="AH352" s="2"/>
      <c r="AI352" s="2"/>
      <c r="AM352" s="14"/>
      <c r="AN352" s="14"/>
      <c r="AO352" s="14"/>
      <c r="AP352" s="14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3"/>
      <c r="AF353" s="2"/>
      <c r="AG353" s="2"/>
      <c r="AH353" s="2"/>
      <c r="AI353" s="2"/>
      <c r="AM353" s="14"/>
      <c r="AN353" s="14"/>
      <c r="AO353" s="14"/>
      <c r="AP353" s="14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3"/>
      <c r="AF354" s="2"/>
      <c r="AG354" s="2"/>
      <c r="AH354" s="2"/>
      <c r="AI354" s="2"/>
      <c r="AM354" s="14"/>
      <c r="AN354" s="14"/>
      <c r="AO354" s="14"/>
      <c r="AP354" s="14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3"/>
      <c r="AF355" s="2"/>
      <c r="AG355" s="2"/>
      <c r="AH355" s="2"/>
      <c r="AI355" s="2"/>
      <c r="AM355" s="14"/>
      <c r="AN355" s="14"/>
      <c r="AO355" s="14"/>
      <c r="AP355" s="14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3"/>
      <c r="AF356" s="2"/>
      <c r="AG356" s="2"/>
      <c r="AH356" s="2"/>
      <c r="AI356" s="2"/>
      <c r="AM356" s="14"/>
      <c r="AN356" s="14"/>
      <c r="AO356" s="14"/>
      <c r="AP356" s="14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3"/>
      <c r="AF357" s="2"/>
      <c r="AG357" s="2"/>
      <c r="AH357" s="2"/>
      <c r="AI357" s="2"/>
      <c r="AM357" s="14"/>
      <c r="AN357" s="14"/>
      <c r="AO357" s="14"/>
      <c r="AP357" s="14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3"/>
      <c r="AF358" s="2"/>
      <c r="AG358" s="2"/>
      <c r="AH358" s="2"/>
      <c r="AI358" s="2"/>
      <c r="AM358" s="14"/>
      <c r="AN358" s="14"/>
      <c r="AO358" s="14"/>
      <c r="AP358" s="14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3"/>
      <c r="AF359" s="2"/>
      <c r="AG359" s="2"/>
      <c r="AH359" s="2"/>
      <c r="AI359" s="2"/>
      <c r="AM359" s="14"/>
      <c r="AN359" s="14"/>
      <c r="AO359" s="14"/>
      <c r="AP359" s="14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3"/>
      <c r="AF360" s="2"/>
      <c r="AG360" s="2"/>
      <c r="AH360" s="2"/>
      <c r="AI360" s="2"/>
      <c r="AM360" s="14"/>
      <c r="AN360" s="14"/>
      <c r="AO360" s="14"/>
      <c r="AP360" s="14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3"/>
      <c r="AF361" s="2"/>
      <c r="AG361" s="2"/>
      <c r="AH361" s="2"/>
      <c r="AI361" s="2"/>
      <c r="AM361" s="14"/>
      <c r="AN361" s="14"/>
      <c r="AO361" s="14"/>
      <c r="AP361" s="14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3"/>
      <c r="AF362" s="2"/>
      <c r="AG362" s="2"/>
      <c r="AH362" s="2"/>
      <c r="AI362" s="2"/>
      <c r="AM362" s="14"/>
      <c r="AN362" s="14"/>
      <c r="AO362" s="14"/>
      <c r="AP362" s="14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3"/>
      <c r="AF363" s="2"/>
      <c r="AG363" s="2"/>
      <c r="AH363" s="2"/>
      <c r="AI363" s="2"/>
      <c r="AM363" s="14"/>
      <c r="AN363" s="14"/>
      <c r="AO363" s="14"/>
      <c r="AP363" s="14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3"/>
      <c r="AF364" s="2"/>
      <c r="AG364" s="2"/>
      <c r="AH364" s="2"/>
      <c r="AI364" s="2"/>
      <c r="AM364" s="14"/>
      <c r="AN364" s="14"/>
      <c r="AO364" s="14"/>
      <c r="AP364" s="14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3"/>
      <c r="AF365" s="2"/>
      <c r="AG365" s="2"/>
      <c r="AH365" s="2"/>
      <c r="AI365" s="2"/>
      <c r="AM365" s="14"/>
      <c r="AN365" s="14"/>
      <c r="AO365" s="14"/>
      <c r="AP365" s="14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3"/>
      <c r="AF366" s="2"/>
      <c r="AG366" s="2"/>
      <c r="AH366" s="2"/>
      <c r="AI366" s="2"/>
      <c r="AM366" s="14"/>
      <c r="AN366" s="14"/>
      <c r="AO366" s="14"/>
      <c r="AP366" s="14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3"/>
      <c r="AF367" s="2"/>
      <c r="AG367" s="2"/>
      <c r="AH367" s="2"/>
      <c r="AI367" s="2"/>
      <c r="AM367" s="14"/>
      <c r="AN367" s="14"/>
      <c r="AO367" s="14"/>
      <c r="AP367" s="14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3"/>
      <c r="AF368" s="2"/>
      <c r="AG368" s="2"/>
      <c r="AH368" s="2"/>
      <c r="AI368" s="2"/>
      <c r="AM368" s="14"/>
      <c r="AN368" s="14"/>
      <c r="AO368" s="14"/>
      <c r="AP368" s="14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3"/>
      <c r="AF369" s="2"/>
      <c r="AG369" s="2"/>
      <c r="AH369" s="2"/>
      <c r="AI369" s="2"/>
      <c r="AM369" s="14"/>
      <c r="AN369" s="14"/>
      <c r="AO369" s="14"/>
      <c r="AP369" s="14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3"/>
      <c r="AF370" s="2"/>
      <c r="AG370" s="2"/>
      <c r="AH370" s="2"/>
      <c r="AI370" s="2"/>
      <c r="AM370" s="14"/>
      <c r="AN370" s="14"/>
      <c r="AO370" s="14"/>
      <c r="AP370" s="14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3"/>
      <c r="AF371" s="2"/>
      <c r="AG371" s="2"/>
      <c r="AH371" s="2"/>
      <c r="AI371" s="2"/>
      <c r="AM371" s="14"/>
      <c r="AN371" s="14"/>
      <c r="AO371" s="14"/>
      <c r="AP371" s="14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3"/>
      <c r="AF372" s="2"/>
      <c r="AG372" s="2"/>
      <c r="AH372" s="2"/>
      <c r="AI372" s="2"/>
      <c r="AM372" s="14"/>
      <c r="AN372" s="14"/>
      <c r="AO372" s="14"/>
      <c r="AP372" s="14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3"/>
      <c r="AF373" s="2"/>
      <c r="AG373" s="2"/>
      <c r="AH373" s="2"/>
      <c r="AI373" s="2"/>
      <c r="AM373" s="14"/>
      <c r="AN373" s="14"/>
      <c r="AO373" s="14"/>
      <c r="AP373" s="14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3"/>
      <c r="AF374" s="2"/>
      <c r="AG374" s="2"/>
      <c r="AH374" s="2"/>
      <c r="AI374" s="2"/>
      <c r="AM374" s="14"/>
      <c r="AN374" s="14"/>
      <c r="AO374" s="14"/>
      <c r="AP374" s="14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3"/>
      <c r="AF375" s="2"/>
      <c r="AG375" s="2"/>
      <c r="AH375" s="2"/>
      <c r="AI375" s="2"/>
      <c r="AM375" s="14"/>
      <c r="AN375" s="14"/>
      <c r="AO375" s="14"/>
      <c r="AP375" s="14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3"/>
      <c r="AF376" s="2"/>
      <c r="AG376" s="2"/>
      <c r="AH376" s="2"/>
      <c r="AI376" s="2"/>
      <c r="AM376" s="14"/>
      <c r="AN376" s="14"/>
      <c r="AO376" s="14"/>
      <c r="AP376" s="14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3"/>
      <c r="AF377" s="2"/>
      <c r="AG377" s="2"/>
      <c r="AH377" s="2"/>
      <c r="AI377" s="2"/>
      <c r="AM377" s="14"/>
      <c r="AN377" s="14"/>
      <c r="AO377" s="14"/>
      <c r="AP377" s="14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3"/>
      <c r="AF378" s="2"/>
      <c r="AG378" s="2"/>
      <c r="AH378" s="2"/>
      <c r="AI378" s="2"/>
      <c r="AM378" s="14"/>
      <c r="AN378" s="14"/>
      <c r="AO378" s="14"/>
      <c r="AP378" s="14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3"/>
      <c r="AF379" s="2"/>
      <c r="AG379" s="2"/>
      <c r="AH379" s="2"/>
      <c r="AI379" s="2"/>
      <c r="AM379" s="14"/>
      <c r="AN379" s="14"/>
      <c r="AO379" s="14"/>
      <c r="AP379" s="14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3"/>
      <c r="AF380" s="2"/>
      <c r="AG380" s="2"/>
      <c r="AH380" s="2"/>
      <c r="AI380" s="2"/>
      <c r="AM380" s="14"/>
      <c r="AN380" s="14"/>
      <c r="AO380" s="14"/>
      <c r="AP380" s="14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3"/>
      <c r="AF381" s="2"/>
      <c r="AG381" s="2"/>
      <c r="AH381" s="2"/>
      <c r="AI381" s="2"/>
      <c r="AM381" s="14"/>
      <c r="AN381" s="14"/>
      <c r="AO381" s="14"/>
      <c r="AP381" s="14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3"/>
      <c r="AF382" s="2"/>
      <c r="AG382" s="2"/>
      <c r="AH382" s="2"/>
      <c r="AI382" s="2"/>
      <c r="AM382" s="14"/>
      <c r="AN382" s="14"/>
      <c r="AO382" s="14"/>
      <c r="AP382" s="14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3"/>
      <c r="AF383" s="2"/>
      <c r="AG383" s="2"/>
      <c r="AH383" s="2"/>
      <c r="AI383" s="2"/>
      <c r="AM383" s="14"/>
      <c r="AN383" s="14"/>
      <c r="AO383" s="14"/>
      <c r="AP383" s="14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3"/>
      <c r="AF384" s="2"/>
      <c r="AG384" s="2"/>
      <c r="AH384" s="2"/>
      <c r="AI384" s="2"/>
      <c r="AM384" s="14"/>
      <c r="AN384" s="14"/>
      <c r="AO384" s="14"/>
      <c r="AP384" s="14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3"/>
      <c r="AF385" s="2"/>
      <c r="AG385" s="2"/>
      <c r="AH385" s="2"/>
      <c r="AI385" s="2"/>
      <c r="AM385" s="14"/>
      <c r="AN385" s="14"/>
      <c r="AO385" s="14"/>
      <c r="AP385" s="14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3"/>
      <c r="AF386" s="2"/>
      <c r="AG386" s="2"/>
      <c r="AH386" s="2"/>
      <c r="AI386" s="2"/>
      <c r="AM386" s="14"/>
      <c r="AN386" s="14"/>
      <c r="AO386" s="14"/>
      <c r="AP386" s="14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3"/>
      <c r="AF387" s="2"/>
      <c r="AG387" s="2"/>
      <c r="AH387" s="2"/>
      <c r="AI387" s="2"/>
      <c r="AM387" s="14"/>
      <c r="AN387" s="14"/>
      <c r="AO387" s="14"/>
      <c r="AP387" s="14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3"/>
      <c r="AF388" s="2"/>
      <c r="AG388" s="2"/>
      <c r="AH388" s="2"/>
      <c r="AI388" s="2"/>
      <c r="AM388" s="14"/>
      <c r="AN388" s="14"/>
      <c r="AO388" s="14"/>
      <c r="AP388" s="14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3"/>
      <c r="AF389" s="2"/>
      <c r="AG389" s="2"/>
      <c r="AH389" s="2"/>
      <c r="AI389" s="2"/>
      <c r="AM389" s="14"/>
      <c r="AN389" s="14"/>
      <c r="AO389" s="14"/>
      <c r="AP389" s="14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3"/>
      <c r="AF390" s="2"/>
      <c r="AG390" s="2"/>
      <c r="AH390" s="2"/>
      <c r="AI390" s="2"/>
      <c r="AM390" s="14"/>
      <c r="AN390" s="14"/>
      <c r="AO390" s="14"/>
      <c r="AP390" s="14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3"/>
      <c r="AF391" s="2"/>
      <c r="AG391" s="2"/>
      <c r="AH391" s="2"/>
      <c r="AI391" s="2"/>
      <c r="AM391" s="14"/>
      <c r="AN391" s="14"/>
      <c r="AO391" s="14"/>
      <c r="AP391" s="14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3"/>
      <c r="AF392" s="2"/>
      <c r="AG392" s="2"/>
      <c r="AH392" s="2"/>
      <c r="AI392" s="2"/>
      <c r="AM392" s="14"/>
      <c r="AN392" s="14"/>
      <c r="AO392" s="14"/>
      <c r="AP392" s="14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3"/>
      <c r="AF393" s="2"/>
      <c r="AG393" s="2"/>
      <c r="AH393" s="2"/>
      <c r="AI393" s="2"/>
      <c r="AM393" s="14"/>
      <c r="AN393" s="14"/>
      <c r="AO393" s="14"/>
      <c r="AP393" s="14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3"/>
      <c r="AF394" s="2"/>
      <c r="AG394" s="2"/>
      <c r="AH394" s="2"/>
      <c r="AI394" s="2"/>
      <c r="AM394" s="14"/>
      <c r="AN394" s="14"/>
      <c r="AO394" s="14"/>
      <c r="AP394" s="14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3"/>
      <c r="AF395" s="2"/>
      <c r="AG395" s="2"/>
      <c r="AH395" s="2"/>
      <c r="AI395" s="2"/>
      <c r="AM395" s="14"/>
      <c r="AN395" s="14"/>
      <c r="AO395" s="14"/>
      <c r="AP395" s="14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3"/>
      <c r="AF396" s="2"/>
      <c r="AG396" s="2"/>
      <c r="AH396" s="2"/>
      <c r="AI396" s="2"/>
      <c r="AM396" s="14"/>
      <c r="AN396" s="14"/>
      <c r="AO396" s="14"/>
      <c r="AP396" s="14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3"/>
      <c r="AF397" s="2"/>
      <c r="AG397" s="2"/>
      <c r="AH397" s="2"/>
      <c r="AI397" s="2"/>
      <c r="AM397" s="14"/>
      <c r="AN397" s="14"/>
      <c r="AO397" s="14"/>
      <c r="AP397" s="14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3"/>
      <c r="AF398" s="2"/>
      <c r="AG398" s="2"/>
      <c r="AH398" s="2"/>
      <c r="AI398" s="2"/>
      <c r="AM398" s="14"/>
      <c r="AN398" s="14"/>
      <c r="AO398" s="14"/>
      <c r="AP398" s="14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3"/>
      <c r="AF399" s="2"/>
      <c r="AG399" s="2"/>
      <c r="AH399" s="2"/>
      <c r="AI399" s="2"/>
      <c r="AM399" s="14"/>
      <c r="AN399" s="14"/>
      <c r="AO399" s="14"/>
      <c r="AP399" s="14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3"/>
      <c r="AF400" s="2"/>
      <c r="AG400" s="2"/>
      <c r="AH400" s="2"/>
      <c r="AI400" s="2"/>
      <c r="AM400" s="14"/>
      <c r="AN400" s="14"/>
      <c r="AO400" s="14"/>
      <c r="AP400" s="14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3"/>
      <c r="AF401" s="2"/>
      <c r="AG401" s="2"/>
      <c r="AH401" s="2"/>
      <c r="AI401" s="2"/>
      <c r="AM401" s="14"/>
      <c r="AN401" s="14"/>
      <c r="AO401" s="14"/>
      <c r="AP401" s="14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3"/>
      <c r="AF402" s="2"/>
      <c r="AG402" s="2"/>
      <c r="AH402" s="2"/>
      <c r="AI402" s="2"/>
      <c r="AM402" s="14"/>
      <c r="AN402" s="14"/>
      <c r="AO402" s="14"/>
      <c r="AP402" s="14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3"/>
      <c r="AF403" s="2"/>
      <c r="AG403" s="2"/>
      <c r="AH403" s="2"/>
      <c r="AI403" s="2"/>
      <c r="AM403" s="14"/>
      <c r="AN403" s="14"/>
      <c r="AO403" s="14"/>
      <c r="AP403" s="14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3"/>
      <c r="AF404" s="2"/>
      <c r="AG404" s="2"/>
      <c r="AH404" s="2"/>
      <c r="AI404" s="2"/>
      <c r="AM404" s="14"/>
      <c r="AN404" s="14"/>
      <c r="AO404" s="14"/>
      <c r="AP404" s="14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3"/>
      <c r="AF405" s="2"/>
      <c r="AG405" s="2"/>
      <c r="AH405" s="2"/>
      <c r="AI405" s="2"/>
      <c r="AM405" s="14"/>
      <c r="AN405" s="14"/>
      <c r="AO405" s="14"/>
      <c r="AP405" s="14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3"/>
      <c r="AF406" s="2"/>
      <c r="AG406" s="2"/>
      <c r="AH406" s="2"/>
      <c r="AI406" s="2"/>
      <c r="AM406" s="14"/>
      <c r="AN406" s="14"/>
      <c r="AO406" s="14"/>
      <c r="AP406" s="14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3"/>
      <c r="AF407" s="2"/>
      <c r="AG407" s="2"/>
      <c r="AH407" s="2"/>
      <c r="AI407" s="2"/>
      <c r="AM407" s="14"/>
      <c r="AN407" s="14"/>
      <c r="AO407" s="14"/>
      <c r="AP407" s="14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3"/>
      <c r="AF408" s="2"/>
      <c r="AG408" s="2"/>
      <c r="AH408" s="2"/>
      <c r="AI408" s="2"/>
      <c r="AM408" s="14"/>
      <c r="AN408" s="14"/>
      <c r="AO408" s="14"/>
      <c r="AP408" s="14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3"/>
      <c r="AF409" s="2"/>
      <c r="AG409" s="2"/>
      <c r="AH409" s="2"/>
      <c r="AI409" s="2"/>
      <c r="AM409" s="14"/>
      <c r="AN409" s="14"/>
      <c r="AO409" s="14"/>
      <c r="AP409" s="14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3"/>
      <c r="AF410" s="2"/>
      <c r="AG410" s="2"/>
      <c r="AH410" s="2"/>
      <c r="AI410" s="2"/>
      <c r="AM410" s="14"/>
      <c r="AN410" s="14"/>
      <c r="AO410" s="14"/>
      <c r="AP410" s="14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3"/>
      <c r="AF411" s="2"/>
      <c r="AG411" s="2"/>
      <c r="AH411" s="2"/>
      <c r="AI411" s="2"/>
      <c r="AM411" s="14"/>
      <c r="AN411" s="14"/>
      <c r="AO411" s="14"/>
      <c r="AP411" s="14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3"/>
      <c r="AF412" s="2"/>
      <c r="AG412" s="2"/>
      <c r="AH412" s="2"/>
      <c r="AI412" s="2"/>
      <c r="AM412" s="14"/>
      <c r="AN412" s="14"/>
      <c r="AO412" s="14"/>
      <c r="AP412" s="14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3"/>
      <c r="AF413" s="2"/>
      <c r="AG413" s="2"/>
      <c r="AH413" s="2"/>
      <c r="AI413" s="2"/>
      <c r="AM413" s="14"/>
      <c r="AN413" s="14"/>
      <c r="AO413" s="14"/>
      <c r="AP413" s="14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3"/>
      <c r="AF414" s="2"/>
      <c r="AG414" s="2"/>
      <c r="AH414" s="2"/>
      <c r="AI414" s="2"/>
      <c r="AM414" s="14"/>
      <c r="AN414" s="14"/>
      <c r="AO414" s="14"/>
      <c r="AP414" s="14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3"/>
      <c r="AF415" s="2"/>
      <c r="AG415" s="2"/>
      <c r="AH415" s="2"/>
      <c r="AI415" s="2"/>
      <c r="AM415" s="14"/>
      <c r="AN415" s="14"/>
      <c r="AO415" s="14"/>
      <c r="AP415" s="14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3"/>
      <c r="AF416" s="2"/>
      <c r="AG416" s="2"/>
      <c r="AH416" s="2"/>
      <c r="AI416" s="2"/>
      <c r="AM416" s="14"/>
      <c r="AN416" s="14"/>
      <c r="AO416" s="14"/>
      <c r="AP416" s="14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3"/>
      <c r="AF417" s="2"/>
      <c r="AG417" s="2"/>
      <c r="AH417" s="2"/>
      <c r="AI417" s="2"/>
      <c r="AM417" s="14"/>
      <c r="AN417" s="14"/>
      <c r="AO417" s="14"/>
      <c r="AP417" s="14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3"/>
      <c r="AF418" s="2"/>
      <c r="AG418" s="2"/>
      <c r="AH418" s="2"/>
      <c r="AI418" s="2"/>
      <c r="AM418" s="14"/>
      <c r="AN418" s="14"/>
      <c r="AO418" s="14"/>
      <c r="AP418" s="14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3"/>
      <c r="AF419" s="2"/>
      <c r="AG419" s="2"/>
      <c r="AH419" s="2"/>
      <c r="AI419" s="2"/>
      <c r="AM419" s="14"/>
      <c r="AN419" s="14"/>
      <c r="AO419" s="14"/>
      <c r="AP419" s="14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3"/>
      <c r="AF420" s="2"/>
      <c r="AG420" s="2"/>
      <c r="AH420" s="2"/>
      <c r="AI420" s="2"/>
      <c r="AM420" s="14"/>
      <c r="AN420" s="14"/>
      <c r="AO420" s="14"/>
      <c r="AP420" s="14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3"/>
      <c r="AF421" s="2"/>
      <c r="AG421" s="2"/>
      <c r="AH421" s="2"/>
      <c r="AI421" s="2"/>
      <c r="AM421" s="14"/>
      <c r="AN421" s="14"/>
      <c r="AO421" s="14"/>
      <c r="AP421" s="14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3"/>
      <c r="AF422" s="2"/>
      <c r="AG422" s="2"/>
      <c r="AH422" s="2"/>
      <c r="AI422" s="2"/>
      <c r="AM422" s="14"/>
      <c r="AN422" s="14"/>
      <c r="AO422" s="14"/>
      <c r="AP422" s="14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3"/>
      <c r="AF423" s="2"/>
      <c r="AG423" s="2"/>
      <c r="AH423" s="2"/>
      <c r="AI423" s="2"/>
      <c r="AM423" s="14"/>
      <c r="AN423" s="14"/>
      <c r="AO423" s="14"/>
      <c r="AP423" s="14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3"/>
      <c r="AF424" s="2"/>
      <c r="AG424" s="2"/>
      <c r="AH424" s="2"/>
      <c r="AI424" s="2"/>
      <c r="AM424" s="14"/>
      <c r="AN424" s="14"/>
      <c r="AO424" s="14"/>
      <c r="AP424" s="14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3"/>
      <c r="AF425" s="2"/>
      <c r="AG425" s="2"/>
      <c r="AH425" s="2"/>
      <c r="AI425" s="2"/>
      <c r="AM425" s="14"/>
      <c r="AN425" s="14"/>
      <c r="AO425" s="14"/>
      <c r="AP425" s="14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3"/>
      <c r="AF426" s="2"/>
      <c r="AG426" s="2"/>
      <c r="AH426" s="2"/>
      <c r="AI426" s="2"/>
      <c r="AM426" s="14"/>
      <c r="AN426" s="14"/>
      <c r="AO426" s="14"/>
      <c r="AP426" s="14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3"/>
      <c r="AF427" s="2"/>
      <c r="AG427" s="2"/>
      <c r="AH427" s="2"/>
      <c r="AI427" s="2"/>
      <c r="AM427" s="14"/>
      <c r="AN427" s="14"/>
      <c r="AO427" s="14"/>
      <c r="AP427" s="14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3"/>
      <c r="AF428" s="2"/>
      <c r="AG428" s="2"/>
      <c r="AH428" s="2"/>
      <c r="AI428" s="2"/>
      <c r="AM428" s="14"/>
      <c r="AN428" s="14"/>
      <c r="AO428" s="14"/>
      <c r="AP428" s="14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3"/>
      <c r="AF429" s="2"/>
      <c r="AG429" s="2"/>
      <c r="AH429" s="2"/>
      <c r="AI429" s="2"/>
      <c r="AM429" s="14"/>
      <c r="AN429" s="14"/>
      <c r="AO429" s="14"/>
      <c r="AP429" s="14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3"/>
      <c r="AF430" s="2"/>
      <c r="AG430" s="2"/>
      <c r="AH430" s="2"/>
      <c r="AI430" s="2"/>
      <c r="AM430" s="14"/>
      <c r="AN430" s="14"/>
      <c r="AO430" s="14"/>
      <c r="AP430" s="14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3"/>
      <c r="AF431" s="2"/>
      <c r="AG431" s="2"/>
      <c r="AH431" s="2"/>
      <c r="AI431" s="2"/>
      <c r="AM431" s="14"/>
      <c r="AN431" s="14"/>
      <c r="AO431" s="14"/>
      <c r="AP431" s="14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3"/>
      <c r="AF432" s="2"/>
      <c r="AG432" s="2"/>
      <c r="AH432" s="2"/>
      <c r="AI432" s="2"/>
      <c r="AM432" s="14"/>
      <c r="AN432" s="14"/>
      <c r="AO432" s="14"/>
      <c r="AP432" s="14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3"/>
      <c r="AF433" s="2"/>
      <c r="AG433" s="2"/>
      <c r="AH433" s="2"/>
      <c r="AI433" s="2"/>
      <c r="AM433" s="14"/>
      <c r="AN433" s="14"/>
      <c r="AO433" s="14"/>
      <c r="AP433" s="14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3"/>
      <c r="AF434" s="2"/>
      <c r="AG434" s="2"/>
      <c r="AH434" s="2"/>
      <c r="AI434" s="2"/>
      <c r="AM434" s="14"/>
      <c r="AN434" s="14"/>
      <c r="AO434" s="14"/>
      <c r="AP434" s="14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3"/>
      <c r="AF435" s="2"/>
      <c r="AG435" s="2"/>
      <c r="AH435" s="2"/>
      <c r="AI435" s="2"/>
      <c r="AM435" s="14"/>
      <c r="AN435" s="14"/>
      <c r="AO435" s="14"/>
      <c r="AP435" s="14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3"/>
      <c r="AF436" s="2"/>
      <c r="AG436" s="2"/>
      <c r="AH436" s="2"/>
      <c r="AI436" s="2"/>
      <c r="AM436" s="14"/>
      <c r="AN436" s="14"/>
      <c r="AO436" s="14"/>
      <c r="AP436" s="14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3"/>
      <c r="AF437" s="2"/>
      <c r="AG437" s="2"/>
      <c r="AH437" s="2"/>
      <c r="AI437" s="2"/>
      <c r="AM437" s="14"/>
      <c r="AN437" s="14"/>
      <c r="AO437" s="14"/>
      <c r="AP437" s="14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3"/>
      <c r="AF438" s="2"/>
      <c r="AG438" s="2"/>
      <c r="AH438" s="2"/>
      <c r="AI438" s="2"/>
      <c r="AM438" s="14"/>
      <c r="AN438" s="14"/>
      <c r="AO438" s="14"/>
      <c r="AP438" s="14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3"/>
      <c r="AF439" s="2"/>
      <c r="AG439" s="2"/>
      <c r="AH439" s="2"/>
      <c r="AI439" s="2"/>
      <c r="AM439" s="14"/>
      <c r="AN439" s="14"/>
      <c r="AO439" s="14"/>
      <c r="AP439" s="14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3"/>
      <c r="AF440" s="2"/>
      <c r="AG440" s="2"/>
      <c r="AH440" s="2"/>
      <c r="AI440" s="2"/>
      <c r="AM440" s="14"/>
      <c r="AN440" s="14"/>
      <c r="AO440" s="14"/>
      <c r="AP440" s="14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3"/>
      <c r="AF441" s="2"/>
      <c r="AG441" s="2"/>
      <c r="AH441" s="2"/>
      <c r="AI441" s="2"/>
      <c r="AM441" s="14"/>
      <c r="AN441" s="14"/>
      <c r="AO441" s="14"/>
      <c r="AP441" s="14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3"/>
      <c r="AF442" s="2"/>
      <c r="AG442" s="2"/>
      <c r="AH442" s="2"/>
      <c r="AI442" s="2"/>
      <c r="AM442" s="14"/>
      <c r="AN442" s="14"/>
      <c r="AO442" s="14"/>
      <c r="AP442" s="14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3"/>
      <c r="AF443" s="2"/>
      <c r="AG443" s="2"/>
      <c r="AH443" s="2"/>
      <c r="AI443" s="2"/>
      <c r="AM443" s="14"/>
      <c r="AN443" s="14"/>
      <c r="AO443" s="14"/>
      <c r="AP443" s="14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3"/>
      <c r="AF444" s="2"/>
      <c r="AG444" s="2"/>
      <c r="AH444" s="2"/>
      <c r="AI444" s="2"/>
      <c r="AM444" s="14"/>
      <c r="AN444" s="14"/>
      <c r="AO444" s="14"/>
      <c r="AP444" s="14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3"/>
      <c r="AF445" s="2"/>
      <c r="AG445" s="2"/>
      <c r="AH445" s="2"/>
      <c r="AI445" s="2"/>
      <c r="AM445" s="14"/>
      <c r="AN445" s="14"/>
      <c r="AO445" s="14"/>
      <c r="AP445" s="14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3"/>
      <c r="AF446" s="2"/>
      <c r="AG446" s="2"/>
      <c r="AH446" s="2"/>
      <c r="AI446" s="2"/>
      <c r="AM446" s="14"/>
      <c r="AN446" s="14"/>
      <c r="AO446" s="14"/>
      <c r="AP446" s="14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3"/>
      <c r="AF447" s="2"/>
      <c r="AG447" s="2"/>
      <c r="AH447" s="2"/>
      <c r="AI447" s="2"/>
      <c r="AM447" s="14"/>
      <c r="AN447" s="14"/>
      <c r="AO447" s="14"/>
      <c r="AP447" s="14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3"/>
      <c r="AF448" s="2"/>
      <c r="AG448" s="2"/>
      <c r="AH448" s="2"/>
      <c r="AI448" s="2"/>
      <c r="AM448" s="14"/>
      <c r="AN448" s="14"/>
      <c r="AO448" s="14"/>
      <c r="AP448" s="14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3"/>
      <c r="AF449" s="2"/>
      <c r="AG449" s="2"/>
      <c r="AH449" s="2"/>
      <c r="AI449" s="2"/>
      <c r="AM449" s="14"/>
      <c r="AN449" s="14"/>
      <c r="AO449" s="14"/>
      <c r="AP449" s="14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3"/>
      <c r="AF450" s="2"/>
      <c r="AG450" s="2"/>
      <c r="AH450" s="2"/>
      <c r="AI450" s="2"/>
      <c r="AM450" s="14"/>
      <c r="AN450" s="14"/>
      <c r="AO450" s="14"/>
      <c r="AP450" s="14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3"/>
      <c r="AF451" s="2"/>
      <c r="AG451" s="2"/>
      <c r="AH451" s="2"/>
      <c r="AI451" s="2"/>
      <c r="AM451" s="14"/>
      <c r="AN451" s="14"/>
      <c r="AO451" s="14"/>
      <c r="AP451" s="14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3"/>
      <c r="AF452" s="2"/>
      <c r="AG452" s="2"/>
      <c r="AH452" s="2"/>
      <c r="AI452" s="2"/>
      <c r="AM452" s="14"/>
      <c r="AN452" s="14"/>
      <c r="AO452" s="14"/>
      <c r="AP452" s="14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3"/>
      <c r="AF453" s="2"/>
      <c r="AG453" s="2"/>
      <c r="AH453" s="2"/>
      <c r="AI453" s="2"/>
      <c r="AM453" s="14"/>
      <c r="AN453" s="14"/>
      <c r="AO453" s="14"/>
      <c r="AP453" s="14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3"/>
      <c r="AF454" s="2"/>
      <c r="AG454" s="2"/>
      <c r="AH454" s="2"/>
      <c r="AI454" s="2"/>
      <c r="AM454" s="14"/>
      <c r="AN454" s="14"/>
      <c r="AO454" s="14"/>
      <c r="AP454" s="14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3"/>
      <c r="AF455" s="2"/>
      <c r="AG455" s="2"/>
      <c r="AH455" s="2"/>
      <c r="AI455" s="2"/>
      <c r="AM455" s="14"/>
      <c r="AN455" s="14"/>
      <c r="AO455" s="14"/>
      <c r="AP455" s="14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3"/>
      <c r="AF456" s="2"/>
      <c r="AG456" s="2"/>
      <c r="AH456" s="2"/>
      <c r="AI456" s="2"/>
      <c r="AM456" s="14"/>
      <c r="AN456" s="14"/>
      <c r="AO456" s="14"/>
      <c r="AP456" s="14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3"/>
      <c r="AF457" s="2"/>
      <c r="AG457" s="2"/>
      <c r="AH457" s="2"/>
      <c r="AI457" s="2"/>
      <c r="AM457" s="14"/>
      <c r="AN457" s="14"/>
      <c r="AO457" s="14"/>
      <c r="AP457" s="14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3"/>
      <c r="AF458" s="2"/>
      <c r="AG458" s="2"/>
      <c r="AH458" s="2"/>
      <c r="AI458" s="2"/>
      <c r="AM458" s="14"/>
      <c r="AN458" s="14"/>
      <c r="AO458" s="14"/>
      <c r="AP458" s="14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3"/>
      <c r="AF459" s="2"/>
      <c r="AG459" s="2"/>
      <c r="AH459" s="2"/>
      <c r="AI459" s="2"/>
      <c r="AM459" s="14"/>
      <c r="AN459" s="14"/>
      <c r="AO459" s="14"/>
      <c r="AP459" s="14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3"/>
      <c r="AF460" s="2"/>
      <c r="AG460" s="2"/>
      <c r="AH460" s="2"/>
      <c r="AI460" s="2"/>
      <c r="AM460" s="14"/>
      <c r="AN460" s="14"/>
      <c r="AO460" s="14"/>
      <c r="AP460" s="14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3"/>
      <c r="AF461" s="2"/>
      <c r="AG461" s="2"/>
      <c r="AH461" s="2"/>
      <c r="AI461" s="2"/>
      <c r="AM461" s="14"/>
      <c r="AN461" s="14"/>
      <c r="AO461" s="14"/>
      <c r="AP461" s="14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3"/>
      <c r="AF462" s="2"/>
      <c r="AG462" s="2"/>
      <c r="AH462" s="2"/>
      <c r="AI462" s="2"/>
      <c r="AM462" s="14"/>
      <c r="AN462" s="14"/>
      <c r="AO462" s="14"/>
      <c r="AP462" s="14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3"/>
      <c r="AF463" s="2"/>
      <c r="AG463" s="2"/>
      <c r="AH463" s="2"/>
      <c r="AI463" s="2"/>
      <c r="AM463" s="14"/>
      <c r="AN463" s="14"/>
      <c r="AO463" s="14"/>
      <c r="AP463" s="14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3"/>
      <c r="AF464" s="2"/>
      <c r="AG464" s="2"/>
      <c r="AH464" s="2"/>
      <c r="AI464" s="2"/>
      <c r="AM464" s="14"/>
      <c r="AN464" s="14"/>
      <c r="AO464" s="14"/>
      <c r="AP464" s="14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3"/>
      <c r="AF465" s="2"/>
      <c r="AG465" s="2"/>
      <c r="AH465" s="2"/>
      <c r="AI465" s="2"/>
      <c r="AM465" s="14"/>
      <c r="AN465" s="14"/>
      <c r="AO465" s="14"/>
      <c r="AP465" s="14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3"/>
      <c r="AF466" s="2"/>
      <c r="AG466" s="2"/>
      <c r="AH466" s="2"/>
      <c r="AI466" s="2"/>
      <c r="AM466" s="14"/>
      <c r="AN466" s="14"/>
      <c r="AO466" s="14"/>
      <c r="AP466" s="14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3"/>
      <c r="AF467" s="2"/>
      <c r="AG467" s="2"/>
      <c r="AH467" s="2"/>
      <c r="AI467" s="2"/>
      <c r="AM467" s="14"/>
      <c r="AN467" s="14"/>
      <c r="AO467" s="14"/>
      <c r="AP467" s="14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3"/>
      <c r="AF468" s="2"/>
      <c r="AG468" s="2"/>
      <c r="AH468" s="2"/>
      <c r="AI468" s="2"/>
      <c r="AM468" s="14"/>
      <c r="AN468" s="14"/>
      <c r="AO468" s="14"/>
      <c r="AP468" s="14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3"/>
      <c r="AF469" s="2"/>
      <c r="AG469" s="2"/>
      <c r="AH469" s="2"/>
      <c r="AI469" s="2"/>
      <c r="AM469" s="14"/>
      <c r="AN469" s="14"/>
      <c r="AO469" s="14"/>
      <c r="AP469" s="14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3"/>
      <c r="AF470" s="2"/>
      <c r="AG470" s="2"/>
      <c r="AH470" s="2"/>
      <c r="AI470" s="2"/>
      <c r="AM470" s="14"/>
      <c r="AN470" s="14"/>
      <c r="AO470" s="14"/>
      <c r="AP470" s="14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3"/>
      <c r="AF471" s="2"/>
      <c r="AG471" s="2"/>
      <c r="AH471" s="2"/>
      <c r="AI471" s="2"/>
      <c r="AM471" s="14"/>
      <c r="AN471" s="14"/>
      <c r="AO471" s="14"/>
      <c r="AP471" s="14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3"/>
      <c r="AF472" s="2"/>
      <c r="AG472" s="2"/>
      <c r="AH472" s="2"/>
      <c r="AI472" s="2"/>
      <c r="AM472" s="14"/>
      <c r="AN472" s="14"/>
      <c r="AO472" s="14"/>
      <c r="AP472" s="14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3"/>
      <c r="AF473" s="2"/>
      <c r="AG473" s="2"/>
      <c r="AH473" s="2"/>
      <c r="AI473" s="2"/>
      <c r="AM473" s="14"/>
      <c r="AN473" s="14"/>
      <c r="AO473" s="14"/>
      <c r="AP473" s="14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3"/>
      <c r="AF474" s="2"/>
      <c r="AG474" s="2"/>
      <c r="AH474" s="2"/>
      <c r="AI474" s="2"/>
      <c r="AM474" s="14"/>
      <c r="AN474" s="14"/>
      <c r="AO474" s="14"/>
      <c r="AP474" s="14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3"/>
      <c r="AF475" s="2"/>
      <c r="AG475" s="2"/>
      <c r="AH475" s="2"/>
      <c r="AI475" s="2"/>
      <c r="AM475" s="14"/>
      <c r="AN475" s="14"/>
      <c r="AO475" s="14"/>
      <c r="AP475" s="14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3"/>
      <c r="AF476" s="2"/>
      <c r="AG476" s="2"/>
      <c r="AH476" s="2"/>
      <c r="AI476" s="2"/>
      <c r="AM476" s="14"/>
      <c r="AN476" s="14"/>
      <c r="AO476" s="14"/>
      <c r="AP476" s="14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3"/>
      <c r="AF477" s="2"/>
      <c r="AG477" s="2"/>
      <c r="AH477" s="2"/>
      <c r="AI477" s="2"/>
      <c r="AM477" s="14"/>
      <c r="AN477" s="14"/>
      <c r="AO477" s="14"/>
      <c r="AP477" s="14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3"/>
      <c r="AF478" s="2"/>
      <c r="AG478" s="2"/>
      <c r="AH478" s="2"/>
      <c r="AI478" s="2"/>
      <c r="AM478" s="14"/>
      <c r="AN478" s="14"/>
      <c r="AO478" s="14"/>
      <c r="AP478" s="14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3"/>
      <c r="AF479" s="2"/>
      <c r="AG479" s="2"/>
      <c r="AH479" s="2"/>
      <c r="AI479" s="2"/>
      <c r="AM479" s="14"/>
      <c r="AN479" s="14"/>
      <c r="AO479" s="14"/>
      <c r="AP479" s="14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3"/>
      <c r="AF480" s="2"/>
      <c r="AG480" s="2"/>
      <c r="AH480" s="2"/>
      <c r="AI480" s="2"/>
      <c r="AM480" s="14"/>
      <c r="AN480" s="14"/>
      <c r="AO480" s="14"/>
      <c r="AP480" s="14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3"/>
      <c r="AF481" s="2"/>
      <c r="AG481" s="2"/>
      <c r="AH481" s="2"/>
      <c r="AI481" s="2"/>
      <c r="AM481" s="14"/>
      <c r="AN481" s="14"/>
      <c r="AO481" s="14"/>
      <c r="AP481" s="14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3"/>
      <c r="AF482" s="2"/>
      <c r="AG482" s="2"/>
      <c r="AH482" s="2"/>
      <c r="AI482" s="2"/>
      <c r="AM482" s="14"/>
      <c r="AN482" s="14"/>
      <c r="AO482" s="14"/>
      <c r="AP482" s="14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3"/>
      <c r="AF483" s="2"/>
      <c r="AG483" s="2"/>
      <c r="AH483" s="2"/>
      <c r="AI483" s="2"/>
      <c r="AM483" s="14"/>
      <c r="AN483" s="14"/>
      <c r="AO483" s="14"/>
      <c r="AP483" s="14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3"/>
      <c r="AF484" s="2"/>
      <c r="AG484" s="2"/>
      <c r="AH484" s="2"/>
      <c r="AI484" s="2"/>
      <c r="AM484" s="14"/>
      <c r="AN484" s="14"/>
      <c r="AO484" s="14"/>
      <c r="AP484" s="14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3"/>
      <c r="AF485" s="2"/>
      <c r="AG485" s="2"/>
      <c r="AH485" s="2"/>
      <c r="AI485" s="2"/>
      <c r="AM485" s="14"/>
      <c r="AN485" s="14"/>
      <c r="AO485" s="14"/>
      <c r="AP485" s="14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3"/>
      <c r="AF486" s="2"/>
      <c r="AG486" s="2"/>
      <c r="AH486" s="2"/>
      <c r="AI486" s="2"/>
      <c r="AM486" s="14"/>
      <c r="AN486" s="14"/>
      <c r="AO486" s="14"/>
      <c r="AP486" s="14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3"/>
      <c r="AF487" s="2"/>
      <c r="AG487" s="2"/>
      <c r="AH487" s="2"/>
      <c r="AI487" s="2"/>
      <c r="AM487" s="14"/>
      <c r="AN487" s="14"/>
      <c r="AO487" s="14"/>
      <c r="AP487" s="14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3"/>
      <c r="AF488" s="2"/>
      <c r="AG488" s="2"/>
      <c r="AH488" s="2"/>
      <c r="AI488" s="2"/>
      <c r="AM488" s="14"/>
      <c r="AN488" s="14"/>
      <c r="AO488" s="14"/>
      <c r="AP488" s="14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3"/>
      <c r="AF489" s="2"/>
      <c r="AG489" s="2"/>
      <c r="AH489" s="2"/>
      <c r="AI489" s="2"/>
      <c r="AM489" s="14"/>
      <c r="AN489" s="14"/>
      <c r="AO489" s="14"/>
      <c r="AP489" s="14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3"/>
      <c r="AF490" s="2"/>
      <c r="AG490" s="2"/>
      <c r="AH490" s="2"/>
      <c r="AI490" s="2"/>
      <c r="AM490" s="14"/>
      <c r="AN490" s="14"/>
      <c r="AO490" s="14"/>
      <c r="AP490" s="14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3"/>
      <c r="AF491" s="2"/>
      <c r="AG491" s="2"/>
      <c r="AH491" s="2"/>
      <c r="AI491" s="2"/>
      <c r="AM491" s="14"/>
      <c r="AN491" s="14"/>
      <c r="AO491" s="14"/>
      <c r="AP491" s="14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3"/>
      <c r="AF492" s="2"/>
      <c r="AG492" s="2"/>
      <c r="AH492" s="2"/>
      <c r="AI492" s="2"/>
      <c r="AM492" s="14"/>
      <c r="AN492" s="14"/>
      <c r="AO492" s="14"/>
      <c r="AP492" s="14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3"/>
      <c r="AF493" s="2"/>
      <c r="AG493" s="2"/>
      <c r="AH493" s="2"/>
      <c r="AI493" s="2"/>
      <c r="AM493" s="14"/>
      <c r="AN493" s="14"/>
      <c r="AO493" s="14"/>
      <c r="AP493" s="14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3"/>
      <c r="AF494" s="2"/>
      <c r="AG494" s="2"/>
      <c r="AH494" s="2"/>
      <c r="AI494" s="2"/>
      <c r="AM494" s="14"/>
      <c r="AN494" s="14"/>
      <c r="AO494" s="14"/>
      <c r="AP494" s="14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3"/>
      <c r="AF495" s="2"/>
      <c r="AG495" s="2"/>
      <c r="AH495" s="2"/>
      <c r="AI495" s="2"/>
      <c r="AM495" s="14"/>
      <c r="AN495" s="14"/>
      <c r="AO495" s="14"/>
      <c r="AP495" s="14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3"/>
      <c r="AF496" s="2"/>
      <c r="AG496" s="2"/>
      <c r="AH496" s="2"/>
      <c r="AI496" s="2"/>
      <c r="AM496" s="14"/>
      <c r="AN496" s="14"/>
      <c r="AO496" s="14"/>
      <c r="AP496" s="14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3"/>
      <c r="AF497" s="2"/>
      <c r="AG497" s="2"/>
      <c r="AH497" s="2"/>
      <c r="AI497" s="2"/>
      <c r="AM497" s="14"/>
      <c r="AN497" s="14"/>
      <c r="AO497" s="14"/>
      <c r="AP497" s="14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3"/>
      <c r="AF498" s="2"/>
      <c r="AG498" s="2"/>
      <c r="AH498" s="2"/>
      <c r="AI498" s="2"/>
      <c r="AM498" s="14"/>
      <c r="AN498" s="14"/>
      <c r="AO498" s="14"/>
      <c r="AP498" s="14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3"/>
      <c r="AF499" s="2"/>
      <c r="AG499" s="2"/>
      <c r="AH499" s="2"/>
      <c r="AI499" s="2"/>
      <c r="AM499" s="14"/>
      <c r="AN499" s="14"/>
      <c r="AO499" s="14"/>
      <c r="AP499" s="14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3"/>
      <c r="AF500" s="2"/>
      <c r="AG500" s="2"/>
      <c r="AH500" s="2"/>
      <c r="AI500" s="2"/>
      <c r="AM500" s="14"/>
      <c r="AN500" s="14"/>
      <c r="AO500" s="14"/>
      <c r="AP500" s="14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3"/>
      <c r="AF501" s="2"/>
      <c r="AG501" s="2"/>
      <c r="AH501" s="2"/>
      <c r="AI501" s="2"/>
      <c r="AM501" s="14"/>
      <c r="AN501" s="14"/>
      <c r="AO501" s="14"/>
      <c r="AP501" s="14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3"/>
      <c r="AF502" s="2"/>
      <c r="AG502" s="2"/>
      <c r="AH502" s="2"/>
      <c r="AI502" s="2"/>
      <c r="AM502" s="14"/>
      <c r="AN502" s="14"/>
      <c r="AO502" s="14"/>
      <c r="AP502" s="14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3"/>
      <c r="AF503" s="2"/>
      <c r="AG503" s="2"/>
      <c r="AH503" s="2"/>
      <c r="AI503" s="2"/>
      <c r="AM503" s="14"/>
      <c r="AN503" s="14"/>
      <c r="AO503" s="14"/>
      <c r="AP503" s="14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3"/>
      <c r="AF504" s="2"/>
      <c r="AG504" s="2"/>
      <c r="AH504" s="2"/>
      <c r="AI504" s="2"/>
      <c r="AM504" s="14"/>
      <c r="AN504" s="14"/>
      <c r="AO504" s="14"/>
      <c r="AP504" s="14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3"/>
      <c r="AF505" s="2"/>
      <c r="AG505" s="2"/>
      <c r="AH505" s="2"/>
      <c r="AI505" s="2"/>
      <c r="AM505" s="14"/>
      <c r="AN505" s="14"/>
      <c r="AO505" s="14"/>
      <c r="AP505" s="14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3"/>
      <c r="AF506" s="2"/>
      <c r="AG506" s="2"/>
      <c r="AH506" s="2"/>
      <c r="AI506" s="2"/>
      <c r="AM506" s="14"/>
      <c r="AN506" s="14"/>
      <c r="AO506" s="14"/>
      <c r="AP506" s="14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3"/>
      <c r="AF507" s="2"/>
      <c r="AG507" s="2"/>
      <c r="AH507" s="2"/>
      <c r="AI507" s="2"/>
      <c r="AM507" s="14"/>
      <c r="AN507" s="14"/>
      <c r="AO507" s="14"/>
      <c r="AP507" s="14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3"/>
      <c r="AF508" s="2"/>
      <c r="AG508" s="2"/>
      <c r="AH508" s="2"/>
      <c r="AI508" s="2"/>
      <c r="AM508" s="14"/>
      <c r="AN508" s="14"/>
      <c r="AO508" s="14"/>
      <c r="AP508" s="14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3"/>
      <c r="AF509" s="2"/>
      <c r="AG509" s="2"/>
      <c r="AH509" s="2"/>
      <c r="AI509" s="2"/>
      <c r="AM509" s="14"/>
      <c r="AN509" s="14"/>
      <c r="AO509" s="14"/>
      <c r="AP509" s="14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3"/>
      <c r="AF510" s="2"/>
      <c r="AG510" s="2"/>
      <c r="AH510" s="2"/>
      <c r="AI510" s="2"/>
      <c r="AM510" s="14"/>
      <c r="AN510" s="14"/>
      <c r="AO510" s="14"/>
      <c r="AP510" s="14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3"/>
      <c r="AF511" s="2"/>
      <c r="AG511" s="2"/>
      <c r="AH511" s="2"/>
      <c r="AI511" s="2"/>
      <c r="AM511" s="14"/>
      <c r="AN511" s="14"/>
      <c r="AO511" s="14"/>
      <c r="AP511" s="14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3"/>
      <c r="AF512" s="2"/>
      <c r="AG512" s="2"/>
      <c r="AH512" s="2"/>
      <c r="AI512" s="2"/>
      <c r="AM512" s="14"/>
      <c r="AN512" s="14"/>
      <c r="AO512" s="14"/>
      <c r="AP512" s="14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3"/>
      <c r="AF513" s="2"/>
      <c r="AG513" s="2"/>
      <c r="AH513" s="2"/>
      <c r="AI513" s="2"/>
      <c r="AM513" s="14"/>
      <c r="AN513" s="14"/>
      <c r="AO513" s="14"/>
      <c r="AP513" s="14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3"/>
      <c r="AF514" s="2"/>
      <c r="AG514" s="2"/>
      <c r="AH514" s="2"/>
      <c r="AI514" s="2"/>
      <c r="AM514" s="14"/>
      <c r="AN514" s="14"/>
      <c r="AO514" s="14"/>
      <c r="AP514" s="14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3"/>
      <c r="AF515" s="2"/>
      <c r="AG515" s="2"/>
      <c r="AH515" s="2"/>
      <c r="AI515" s="2"/>
      <c r="AM515" s="14"/>
      <c r="AN515" s="14"/>
      <c r="AO515" s="14"/>
      <c r="AP515" s="14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3"/>
      <c r="AF516" s="2"/>
      <c r="AG516" s="2"/>
      <c r="AH516" s="2"/>
      <c r="AI516" s="2"/>
      <c r="AM516" s="14"/>
      <c r="AN516" s="14"/>
      <c r="AO516" s="14"/>
      <c r="AP516" s="14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3"/>
      <c r="AF517" s="2"/>
      <c r="AG517" s="2"/>
      <c r="AH517" s="2"/>
      <c r="AI517" s="2"/>
      <c r="AM517" s="14"/>
      <c r="AN517" s="14"/>
      <c r="AO517" s="14"/>
      <c r="AP517" s="14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3"/>
      <c r="AF518" s="2"/>
      <c r="AG518" s="2"/>
      <c r="AH518" s="2"/>
      <c r="AI518" s="2"/>
      <c r="AM518" s="14"/>
      <c r="AN518" s="14"/>
      <c r="AO518" s="14"/>
      <c r="AP518" s="14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3"/>
      <c r="AF519" s="2"/>
      <c r="AG519" s="2"/>
      <c r="AH519" s="2"/>
      <c r="AI519" s="2"/>
      <c r="AM519" s="14"/>
      <c r="AN519" s="14"/>
      <c r="AO519" s="14"/>
      <c r="AP519" s="14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3"/>
      <c r="AF520" s="2"/>
      <c r="AG520" s="2"/>
      <c r="AH520" s="2"/>
      <c r="AI520" s="2"/>
      <c r="AM520" s="14"/>
      <c r="AN520" s="14"/>
      <c r="AO520" s="14"/>
      <c r="AP520" s="14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3"/>
      <c r="AF521" s="2"/>
      <c r="AG521" s="2"/>
      <c r="AH521" s="2"/>
      <c r="AI521" s="2"/>
      <c r="AM521" s="14"/>
      <c r="AN521" s="14"/>
      <c r="AO521" s="14"/>
      <c r="AP521" s="14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3"/>
      <c r="AF522" s="2"/>
      <c r="AG522" s="2"/>
      <c r="AH522" s="2"/>
      <c r="AI522" s="2"/>
      <c r="AM522" s="14"/>
      <c r="AN522" s="14"/>
      <c r="AO522" s="14"/>
      <c r="AP522" s="14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3"/>
      <c r="AF523" s="2"/>
      <c r="AG523" s="2"/>
      <c r="AH523" s="2"/>
      <c r="AI523" s="2"/>
      <c r="AM523" s="14"/>
      <c r="AN523" s="14"/>
      <c r="AO523" s="14"/>
      <c r="AP523" s="14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3"/>
      <c r="AF524" s="2"/>
      <c r="AG524" s="2"/>
      <c r="AH524" s="2"/>
      <c r="AI524" s="2"/>
      <c r="AM524" s="14"/>
      <c r="AN524" s="14"/>
      <c r="AO524" s="14"/>
      <c r="AP524" s="14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3"/>
      <c r="AF525" s="2"/>
      <c r="AG525" s="2"/>
      <c r="AH525" s="2"/>
      <c r="AI525" s="2"/>
      <c r="AM525" s="14"/>
      <c r="AN525" s="14"/>
      <c r="AO525" s="14"/>
      <c r="AP525" s="14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3"/>
      <c r="AF526" s="2"/>
      <c r="AG526" s="2"/>
      <c r="AH526" s="2"/>
      <c r="AI526" s="2"/>
      <c r="AM526" s="14"/>
      <c r="AN526" s="14"/>
      <c r="AO526" s="14"/>
      <c r="AP526" s="14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3"/>
      <c r="AF527" s="2"/>
      <c r="AG527" s="2"/>
      <c r="AH527" s="2"/>
      <c r="AI527" s="2"/>
      <c r="AM527" s="14"/>
      <c r="AN527" s="14"/>
      <c r="AO527" s="14"/>
      <c r="AP527" s="14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3"/>
      <c r="AF528" s="2"/>
      <c r="AG528" s="2"/>
      <c r="AH528" s="2"/>
      <c r="AI528" s="2"/>
      <c r="AM528" s="14"/>
      <c r="AN528" s="14"/>
      <c r="AO528" s="14"/>
      <c r="AP528" s="14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3"/>
      <c r="AF529" s="2"/>
      <c r="AG529" s="2"/>
      <c r="AH529" s="2"/>
      <c r="AI529" s="2"/>
      <c r="AM529" s="14"/>
      <c r="AN529" s="14"/>
      <c r="AO529" s="14"/>
      <c r="AP529" s="14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3"/>
      <c r="AF530" s="2"/>
      <c r="AG530" s="2"/>
      <c r="AH530" s="2"/>
      <c r="AI530" s="2"/>
      <c r="AM530" s="14"/>
      <c r="AN530" s="14"/>
      <c r="AO530" s="14"/>
      <c r="AP530" s="14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3"/>
      <c r="AF531" s="2"/>
      <c r="AG531" s="2"/>
      <c r="AH531" s="2"/>
      <c r="AI531" s="2"/>
      <c r="AM531" s="14"/>
      <c r="AN531" s="14"/>
      <c r="AO531" s="14"/>
      <c r="AP531" s="14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3"/>
      <c r="AF532" s="2"/>
      <c r="AG532" s="2"/>
      <c r="AH532" s="2"/>
      <c r="AI532" s="2"/>
      <c r="AM532" s="14"/>
      <c r="AN532" s="14"/>
      <c r="AO532" s="14"/>
      <c r="AP532" s="14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3"/>
      <c r="AF533" s="2"/>
      <c r="AG533" s="2"/>
      <c r="AH533" s="2"/>
      <c r="AI533" s="2"/>
      <c r="AM533" s="14"/>
      <c r="AN533" s="14"/>
      <c r="AO533" s="14"/>
      <c r="AP533" s="14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3"/>
      <c r="AF534" s="2"/>
      <c r="AG534" s="2"/>
      <c r="AH534" s="2"/>
      <c r="AI534" s="2"/>
      <c r="AM534" s="14"/>
      <c r="AN534" s="14"/>
      <c r="AO534" s="14"/>
      <c r="AP534" s="14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3"/>
      <c r="AF535" s="2"/>
      <c r="AG535" s="2"/>
      <c r="AH535" s="2"/>
      <c r="AI535" s="2"/>
      <c r="AM535" s="14"/>
      <c r="AN535" s="14"/>
      <c r="AO535" s="14"/>
      <c r="AP535" s="14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3"/>
      <c r="AF536" s="2"/>
      <c r="AG536" s="2"/>
      <c r="AH536" s="2"/>
      <c r="AI536" s="2"/>
      <c r="AM536" s="14"/>
      <c r="AN536" s="14"/>
      <c r="AO536" s="14"/>
      <c r="AP536" s="14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3"/>
      <c r="AF537" s="2"/>
      <c r="AG537" s="2"/>
      <c r="AH537" s="2"/>
      <c r="AI537" s="2"/>
      <c r="AM537" s="14"/>
      <c r="AN537" s="14"/>
      <c r="AO537" s="14"/>
      <c r="AP537" s="14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3"/>
      <c r="AF538" s="2"/>
      <c r="AG538" s="2"/>
      <c r="AH538" s="2"/>
      <c r="AI538" s="2"/>
      <c r="AM538" s="14"/>
      <c r="AN538" s="14"/>
      <c r="AO538" s="14"/>
      <c r="AP538" s="14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3"/>
      <c r="AF539" s="2"/>
      <c r="AG539" s="2"/>
      <c r="AH539" s="2"/>
      <c r="AI539" s="2"/>
      <c r="AM539" s="14"/>
      <c r="AN539" s="14"/>
      <c r="AO539" s="14"/>
      <c r="AP539" s="14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3"/>
      <c r="AF540" s="2"/>
      <c r="AG540" s="2"/>
      <c r="AH540" s="2"/>
      <c r="AI540" s="2"/>
      <c r="AM540" s="14"/>
      <c r="AN540" s="14"/>
      <c r="AO540" s="14"/>
      <c r="AP540" s="14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3"/>
      <c r="AF541" s="2"/>
      <c r="AG541" s="2"/>
      <c r="AH541" s="2"/>
      <c r="AI541" s="2"/>
      <c r="AM541" s="14"/>
      <c r="AN541" s="14"/>
      <c r="AO541" s="14"/>
      <c r="AP541" s="14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3"/>
      <c r="AF542" s="2"/>
      <c r="AG542" s="2"/>
      <c r="AH542" s="2"/>
      <c r="AI542" s="2"/>
      <c r="AM542" s="14"/>
      <c r="AN542" s="14"/>
      <c r="AO542" s="14"/>
      <c r="AP542" s="14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3"/>
      <c r="AF543" s="2"/>
      <c r="AG543" s="2"/>
      <c r="AH543" s="2"/>
      <c r="AI543" s="2"/>
      <c r="AM543" s="14"/>
      <c r="AN543" s="14"/>
      <c r="AO543" s="14"/>
      <c r="AP543" s="14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3"/>
      <c r="AF544" s="2"/>
      <c r="AG544" s="2"/>
      <c r="AH544" s="2"/>
      <c r="AI544" s="2"/>
      <c r="AM544" s="14"/>
      <c r="AN544" s="14"/>
      <c r="AO544" s="14"/>
      <c r="AP544" s="14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3"/>
      <c r="AF545" s="2"/>
      <c r="AG545" s="2"/>
      <c r="AH545" s="2"/>
      <c r="AI545" s="2"/>
      <c r="AM545" s="14"/>
      <c r="AN545" s="14"/>
      <c r="AO545" s="14"/>
      <c r="AP545" s="14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3"/>
      <c r="AF546" s="2"/>
      <c r="AG546" s="2"/>
      <c r="AH546" s="2"/>
      <c r="AI546" s="2"/>
      <c r="AM546" s="14"/>
      <c r="AN546" s="14"/>
      <c r="AO546" s="14"/>
      <c r="AP546" s="14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3"/>
      <c r="AF547" s="2"/>
      <c r="AG547" s="2"/>
      <c r="AH547" s="2"/>
      <c r="AI547" s="2"/>
      <c r="AM547" s="14"/>
      <c r="AN547" s="14"/>
      <c r="AO547" s="14"/>
      <c r="AP547" s="14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3"/>
      <c r="AF548" s="2"/>
      <c r="AG548" s="2"/>
      <c r="AH548" s="2"/>
      <c r="AI548" s="2"/>
      <c r="AM548" s="14"/>
      <c r="AN548" s="14"/>
      <c r="AO548" s="14"/>
      <c r="AP548" s="14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3"/>
      <c r="AF549" s="2"/>
      <c r="AG549" s="2"/>
      <c r="AH549" s="2"/>
      <c r="AI549" s="2"/>
      <c r="AM549" s="14"/>
      <c r="AN549" s="14"/>
      <c r="AO549" s="14"/>
      <c r="AP549" s="14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3"/>
      <c r="AF550" s="2"/>
      <c r="AG550" s="2"/>
      <c r="AH550" s="2"/>
      <c r="AI550" s="2"/>
      <c r="AM550" s="14"/>
      <c r="AN550" s="14"/>
      <c r="AO550" s="14"/>
      <c r="AP550" s="14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3"/>
      <c r="AF551" s="2"/>
      <c r="AG551" s="2"/>
      <c r="AH551" s="2"/>
      <c r="AI551" s="2"/>
      <c r="AM551" s="14"/>
      <c r="AN551" s="14"/>
      <c r="AO551" s="14"/>
      <c r="AP551" s="14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3"/>
      <c r="AF552" s="2"/>
      <c r="AG552" s="2"/>
      <c r="AH552" s="2"/>
      <c r="AI552" s="2"/>
      <c r="AM552" s="14"/>
      <c r="AN552" s="14"/>
      <c r="AO552" s="14"/>
      <c r="AP552" s="14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3"/>
      <c r="AF553" s="2"/>
      <c r="AG553" s="2"/>
      <c r="AH553" s="2"/>
      <c r="AI553" s="2"/>
      <c r="AM553" s="14"/>
      <c r="AN553" s="14"/>
      <c r="AO553" s="14"/>
      <c r="AP553" s="14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3"/>
      <c r="AF554" s="2"/>
      <c r="AG554" s="2"/>
      <c r="AH554" s="2"/>
      <c r="AI554" s="2"/>
      <c r="AM554" s="14"/>
      <c r="AN554" s="14"/>
      <c r="AO554" s="14"/>
      <c r="AP554" s="14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3"/>
      <c r="AF555" s="2"/>
      <c r="AG555" s="2"/>
      <c r="AH555" s="2"/>
      <c r="AI555" s="2"/>
      <c r="AM555" s="14"/>
      <c r="AN555" s="14"/>
      <c r="AO555" s="14"/>
      <c r="AP555" s="14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3"/>
      <c r="AF556" s="2"/>
      <c r="AG556" s="2"/>
      <c r="AH556" s="2"/>
      <c r="AI556" s="2"/>
      <c r="AM556" s="14"/>
      <c r="AN556" s="14"/>
      <c r="AO556" s="14"/>
      <c r="AP556" s="14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3"/>
      <c r="AF557" s="2"/>
      <c r="AG557" s="2"/>
      <c r="AH557" s="2"/>
      <c r="AI557" s="2"/>
      <c r="AM557" s="14"/>
      <c r="AN557" s="14"/>
      <c r="AO557" s="14"/>
      <c r="AP557" s="14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3"/>
      <c r="AF558" s="2"/>
      <c r="AG558" s="2"/>
      <c r="AH558" s="2"/>
      <c r="AI558" s="2"/>
      <c r="AM558" s="14"/>
      <c r="AN558" s="14"/>
      <c r="AO558" s="14"/>
      <c r="AP558" s="14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3"/>
      <c r="AF559" s="2"/>
      <c r="AG559" s="2"/>
      <c r="AH559" s="2"/>
      <c r="AI559" s="2"/>
      <c r="AM559" s="14"/>
      <c r="AN559" s="14"/>
      <c r="AO559" s="14"/>
      <c r="AP559" s="14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3"/>
      <c r="AF560" s="2"/>
      <c r="AG560" s="2"/>
      <c r="AH560" s="2"/>
      <c r="AI560" s="2"/>
      <c r="AM560" s="14"/>
      <c r="AN560" s="14"/>
      <c r="AO560" s="14"/>
      <c r="AP560" s="14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3"/>
      <c r="AF561" s="2"/>
      <c r="AG561" s="2"/>
      <c r="AH561" s="2"/>
      <c r="AI561" s="2"/>
      <c r="AM561" s="14"/>
      <c r="AN561" s="14"/>
      <c r="AO561" s="14"/>
      <c r="AP561" s="14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3"/>
      <c r="AF562" s="2"/>
      <c r="AG562" s="2"/>
      <c r="AH562" s="2"/>
      <c r="AI562" s="2"/>
      <c r="AM562" s="14"/>
      <c r="AN562" s="14"/>
      <c r="AO562" s="14"/>
      <c r="AP562" s="14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3"/>
      <c r="AF563" s="2"/>
      <c r="AG563" s="2"/>
      <c r="AH563" s="2"/>
      <c r="AI563" s="2"/>
      <c r="AM563" s="14"/>
      <c r="AN563" s="14"/>
      <c r="AO563" s="14"/>
      <c r="AP563" s="14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3"/>
      <c r="AF564" s="2"/>
      <c r="AG564" s="2"/>
      <c r="AH564" s="2"/>
      <c r="AI564" s="2"/>
      <c r="AM564" s="14"/>
      <c r="AN564" s="14"/>
      <c r="AO564" s="14"/>
      <c r="AP564" s="14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3"/>
      <c r="AF565" s="2"/>
      <c r="AG565" s="2"/>
      <c r="AH565" s="2"/>
      <c r="AI565" s="2"/>
      <c r="AM565" s="14"/>
      <c r="AN565" s="14"/>
      <c r="AO565" s="14"/>
      <c r="AP565" s="14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3"/>
      <c r="AF566" s="2"/>
      <c r="AG566" s="2"/>
      <c r="AH566" s="2"/>
      <c r="AI566" s="2"/>
      <c r="AM566" s="14"/>
      <c r="AN566" s="14"/>
      <c r="AO566" s="14"/>
      <c r="AP566" s="14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3"/>
      <c r="AF567" s="2"/>
      <c r="AG567" s="2"/>
      <c r="AH567" s="2"/>
      <c r="AI567" s="2"/>
      <c r="AM567" s="14"/>
      <c r="AN567" s="14"/>
      <c r="AO567" s="14"/>
      <c r="AP567" s="14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3"/>
      <c r="AF568" s="2"/>
      <c r="AG568" s="2"/>
      <c r="AH568" s="2"/>
      <c r="AI568" s="2"/>
      <c r="AM568" s="14"/>
      <c r="AN568" s="14"/>
      <c r="AO568" s="14"/>
      <c r="AP568" s="14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3"/>
      <c r="AF569" s="2"/>
      <c r="AG569" s="2"/>
      <c r="AH569" s="2"/>
      <c r="AI569" s="2"/>
      <c r="AM569" s="14"/>
      <c r="AN569" s="14"/>
      <c r="AO569" s="14"/>
      <c r="AP569" s="14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3"/>
      <c r="AF570" s="2"/>
      <c r="AG570" s="2"/>
      <c r="AH570" s="2"/>
      <c r="AI570" s="2"/>
      <c r="AM570" s="14"/>
      <c r="AN570" s="14"/>
      <c r="AO570" s="14"/>
      <c r="AP570" s="14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3"/>
      <c r="AF571" s="2"/>
      <c r="AG571" s="2"/>
      <c r="AH571" s="2"/>
      <c r="AI571" s="2"/>
      <c r="AM571" s="14"/>
      <c r="AN571" s="14"/>
      <c r="AO571" s="14"/>
      <c r="AP571" s="14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3"/>
      <c r="AF572" s="2"/>
      <c r="AG572" s="2"/>
      <c r="AH572" s="2"/>
      <c r="AI572" s="2"/>
      <c r="AM572" s="14"/>
      <c r="AN572" s="14"/>
      <c r="AO572" s="14"/>
      <c r="AP572" s="14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3"/>
      <c r="AF573" s="2"/>
      <c r="AG573" s="2"/>
      <c r="AH573" s="2"/>
      <c r="AI573" s="2"/>
      <c r="AM573" s="14"/>
      <c r="AN573" s="14"/>
      <c r="AO573" s="14"/>
      <c r="AP573" s="14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3"/>
      <c r="AF574" s="2"/>
      <c r="AG574" s="2"/>
      <c r="AH574" s="2"/>
      <c r="AI574" s="2"/>
      <c r="AM574" s="14"/>
      <c r="AN574" s="14"/>
      <c r="AO574" s="14"/>
      <c r="AP574" s="14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3"/>
      <c r="AF575" s="2"/>
      <c r="AG575" s="2"/>
      <c r="AH575" s="2"/>
      <c r="AI575" s="2"/>
      <c r="AM575" s="14"/>
      <c r="AN575" s="14"/>
      <c r="AO575" s="14"/>
      <c r="AP575" s="14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3"/>
      <c r="AF576" s="2"/>
      <c r="AG576" s="2"/>
      <c r="AH576" s="2"/>
      <c r="AI576" s="2"/>
      <c r="AM576" s="14"/>
      <c r="AN576" s="14"/>
      <c r="AO576" s="14"/>
      <c r="AP576" s="14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3"/>
      <c r="AF577" s="2"/>
      <c r="AG577" s="2"/>
      <c r="AH577" s="2"/>
      <c r="AI577" s="2"/>
      <c r="AM577" s="14"/>
      <c r="AN577" s="14"/>
      <c r="AO577" s="14"/>
      <c r="AP577" s="14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3"/>
      <c r="AF578" s="2"/>
      <c r="AG578" s="2"/>
      <c r="AH578" s="2"/>
      <c r="AI578" s="2"/>
      <c r="AM578" s="14"/>
      <c r="AN578" s="14"/>
      <c r="AO578" s="14"/>
      <c r="AP578" s="14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3"/>
      <c r="AF579" s="2"/>
      <c r="AG579" s="2"/>
      <c r="AH579" s="2"/>
      <c r="AI579" s="2"/>
      <c r="AM579" s="14"/>
      <c r="AN579" s="14"/>
      <c r="AO579" s="14"/>
      <c r="AP579" s="14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3"/>
      <c r="AF580" s="2"/>
      <c r="AG580" s="2"/>
      <c r="AH580" s="2"/>
      <c r="AI580" s="2"/>
      <c r="AM580" s="14"/>
      <c r="AN580" s="14"/>
      <c r="AO580" s="14"/>
      <c r="AP580" s="14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3"/>
      <c r="AF581" s="2"/>
      <c r="AG581" s="2"/>
      <c r="AH581" s="2"/>
      <c r="AI581" s="2"/>
      <c r="AM581" s="14"/>
      <c r="AN581" s="14"/>
      <c r="AO581" s="14"/>
      <c r="AP581" s="14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3"/>
      <c r="AF582" s="2"/>
      <c r="AG582" s="2"/>
      <c r="AH582" s="2"/>
      <c r="AI582" s="2"/>
      <c r="AM582" s="14"/>
      <c r="AN582" s="14"/>
      <c r="AO582" s="14"/>
      <c r="AP582" s="14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3"/>
      <c r="AF583" s="2"/>
      <c r="AG583" s="2"/>
      <c r="AH583" s="2"/>
      <c r="AI583" s="2"/>
      <c r="AM583" s="14"/>
      <c r="AN583" s="14"/>
      <c r="AO583" s="14"/>
      <c r="AP583" s="14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3"/>
      <c r="AF584" s="2"/>
      <c r="AG584" s="2"/>
      <c r="AH584" s="2"/>
      <c r="AI584" s="2"/>
      <c r="AM584" s="14"/>
      <c r="AN584" s="14"/>
      <c r="AO584" s="14"/>
      <c r="AP584" s="14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3"/>
      <c r="AF585" s="2"/>
      <c r="AG585" s="2"/>
      <c r="AH585" s="2"/>
      <c r="AI585" s="2"/>
      <c r="AM585" s="14"/>
      <c r="AN585" s="14"/>
      <c r="AO585" s="14"/>
      <c r="AP585" s="14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3"/>
      <c r="AF586" s="2"/>
      <c r="AG586" s="2"/>
      <c r="AH586" s="2"/>
      <c r="AI586" s="2"/>
      <c r="AM586" s="14"/>
      <c r="AN586" s="14"/>
      <c r="AO586" s="14"/>
      <c r="AP586" s="14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3"/>
      <c r="AF587" s="2"/>
      <c r="AG587" s="2"/>
      <c r="AH587" s="2"/>
      <c r="AI587" s="2"/>
      <c r="AM587" s="14"/>
      <c r="AN587" s="14"/>
      <c r="AO587" s="14"/>
      <c r="AP587" s="14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3"/>
      <c r="AF588" s="2"/>
      <c r="AG588" s="2"/>
      <c r="AH588" s="2"/>
      <c r="AI588" s="2"/>
      <c r="AM588" s="14"/>
      <c r="AN588" s="14"/>
      <c r="AO588" s="14"/>
      <c r="AP588" s="14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3"/>
      <c r="AF589" s="2"/>
      <c r="AG589" s="2"/>
      <c r="AH589" s="2"/>
      <c r="AI589" s="2"/>
      <c r="AM589" s="14"/>
      <c r="AN589" s="14"/>
      <c r="AO589" s="14"/>
      <c r="AP589" s="14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3"/>
      <c r="AF590" s="2"/>
      <c r="AG590" s="2"/>
      <c r="AH590" s="2"/>
      <c r="AI590" s="2"/>
      <c r="AM590" s="14"/>
      <c r="AN590" s="14"/>
      <c r="AO590" s="14"/>
      <c r="AP590" s="14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3"/>
      <c r="AF591" s="2"/>
      <c r="AG591" s="2"/>
      <c r="AH591" s="2"/>
      <c r="AI591" s="2"/>
      <c r="AM591" s="14"/>
      <c r="AN591" s="14"/>
      <c r="AO591" s="14"/>
      <c r="AP591" s="14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3"/>
      <c r="AF592" s="2"/>
      <c r="AG592" s="2"/>
      <c r="AH592" s="2"/>
      <c r="AI592" s="2"/>
      <c r="AM592" s="14"/>
      <c r="AN592" s="14"/>
      <c r="AO592" s="14"/>
      <c r="AP592" s="14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3"/>
      <c r="AF593" s="2"/>
      <c r="AG593" s="2"/>
      <c r="AH593" s="2"/>
      <c r="AI593" s="2"/>
      <c r="AM593" s="14"/>
      <c r="AN593" s="14"/>
      <c r="AO593" s="14"/>
      <c r="AP593" s="14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3"/>
      <c r="AF594" s="2"/>
      <c r="AG594" s="2"/>
      <c r="AH594" s="2"/>
      <c r="AI594" s="2"/>
      <c r="AM594" s="14"/>
      <c r="AN594" s="14"/>
      <c r="AO594" s="14"/>
      <c r="AP594" s="14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3"/>
      <c r="AF595" s="2"/>
      <c r="AG595" s="2"/>
      <c r="AH595" s="2"/>
      <c r="AI595" s="2"/>
      <c r="AM595" s="14"/>
      <c r="AN595" s="14"/>
      <c r="AO595" s="14"/>
      <c r="AP595" s="14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3"/>
      <c r="AF596" s="2"/>
      <c r="AG596" s="2"/>
      <c r="AH596" s="2"/>
      <c r="AI596" s="2"/>
      <c r="AM596" s="14"/>
      <c r="AN596" s="14"/>
      <c r="AO596" s="14"/>
      <c r="AP596" s="14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3"/>
      <c r="AF597" s="2"/>
      <c r="AG597" s="2"/>
      <c r="AH597" s="2"/>
      <c r="AI597" s="2"/>
      <c r="AM597" s="14"/>
      <c r="AN597" s="14"/>
      <c r="AO597" s="14"/>
      <c r="AP597" s="14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3"/>
      <c r="AF598" s="2"/>
      <c r="AG598" s="2"/>
      <c r="AH598" s="2"/>
      <c r="AI598" s="2"/>
      <c r="AM598" s="14"/>
      <c r="AN598" s="14"/>
      <c r="AO598" s="14"/>
      <c r="AP598" s="14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3"/>
      <c r="AF599" s="2"/>
      <c r="AG599" s="2"/>
      <c r="AH599" s="2"/>
      <c r="AI599" s="2"/>
      <c r="AM599" s="14"/>
      <c r="AN599" s="14"/>
      <c r="AO599" s="14"/>
      <c r="AP599" s="14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3"/>
      <c r="AF600" s="2"/>
      <c r="AG600" s="2"/>
      <c r="AH600" s="2"/>
      <c r="AI600" s="2"/>
      <c r="AM600" s="14"/>
      <c r="AN600" s="14"/>
      <c r="AO600" s="14"/>
      <c r="AP600" s="14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3"/>
      <c r="AF601" s="2"/>
      <c r="AG601" s="2"/>
      <c r="AH601" s="2"/>
      <c r="AI601" s="2"/>
      <c r="AM601" s="14"/>
      <c r="AN601" s="14"/>
      <c r="AO601" s="14"/>
      <c r="AP601" s="14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3"/>
      <c r="AF602" s="2"/>
      <c r="AG602" s="2"/>
      <c r="AH602" s="2"/>
      <c r="AI602" s="2"/>
      <c r="AM602" s="14"/>
      <c r="AN602" s="14"/>
      <c r="AO602" s="14"/>
      <c r="AP602" s="14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3"/>
      <c r="AF603" s="2"/>
      <c r="AG603" s="2"/>
      <c r="AH603" s="2"/>
      <c r="AI603" s="2"/>
      <c r="AM603" s="14"/>
      <c r="AN603" s="14"/>
      <c r="AO603" s="14"/>
      <c r="AP603" s="14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3"/>
      <c r="AF604" s="2"/>
      <c r="AG604" s="2"/>
      <c r="AH604" s="2"/>
      <c r="AI604" s="2"/>
      <c r="AM604" s="14"/>
      <c r="AN604" s="14"/>
      <c r="AO604" s="14"/>
      <c r="AP604" s="14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3"/>
      <c r="AF605" s="2"/>
      <c r="AG605" s="2"/>
      <c r="AH605" s="2"/>
      <c r="AI605" s="2"/>
      <c r="AM605" s="14"/>
      <c r="AN605" s="14"/>
      <c r="AO605" s="14"/>
      <c r="AP605" s="14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3"/>
      <c r="AF606" s="2"/>
      <c r="AG606" s="2"/>
      <c r="AH606" s="2"/>
      <c r="AI606" s="2"/>
      <c r="AM606" s="14"/>
      <c r="AN606" s="14"/>
      <c r="AO606" s="14"/>
      <c r="AP606" s="14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3"/>
      <c r="AF607" s="2"/>
      <c r="AG607" s="2"/>
      <c r="AH607" s="2"/>
      <c r="AI607" s="2"/>
      <c r="AM607" s="14"/>
      <c r="AN607" s="14"/>
      <c r="AO607" s="14"/>
      <c r="AP607" s="14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3"/>
      <c r="AF608" s="2"/>
      <c r="AG608" s="2"/>
      <c r="AH608" s="2"/>
      <c r="AI608" s="2"/>
      <c r="AM608" s="14"/>
      <c r="AN608" s="14"/>
      <c r="AO608" s="14"/>
      <c r="AP608" s="14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3"/>
      <c r="AF609" s="2"/>
      <c r="AG609" s="2"/>
      <c r="AH609" s="2"/>
      <c r="AI609" s="2"/>
      <c r="AM609" s="14"/>
      <c r="AN609" s="14"/>
      <c r="AO609" s="14"/>
      <c r="AP609" s="14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3"/>
      <c r="AF610" s="2"/>
      <c r="AG610" s="2"/>
      <c r="AH610" s="2"/>
      <c r="AI610" s="2"/>
      <c r="AM610" s="14"/>
      <c r="AN610" s="14"/>
      <c r="AO610" s="14"/>
      <c r="AP610" s="14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3"/>
      <c r="AF611" s="2"/>
      <c r="AG611" s="2"/>
      <c r="AH611" s="2"/>
      <c r="AI611" s="2"/>
      <c r="AM611" s="14"/>
      <c r="AN611" s="14"/>
      <c r="AO611" s="14"/>
      <c r="AP611" s="14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3"/>
      <c r="AF612" s="2"/>
      <c r="AG612" s="2"/>
      <c r="AH612" s="2"/>
      <c r="AI612" s="2"/>
      <c r="AM612" s="14"/>
      <c r="AN612" s="14"/>
      <c r="AO612" s="14"/>
      <c r="AP612" s="14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3"/>
      <c r="AF613" s="2"/>
      <c r="AG613" s="2"/>
      <c r="AH613" s="2"/>
      <c r="AI613" s="2"/>
      <c r="AM613" s="14"/>
      <c r="AN613" s="14"/>
      <c r="AO613" s="14"/>
      <c r="AP613" s="14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3"/>
      <c r="AF614" s="2"/>
      <c r="AG614" s="2"/>
      <c r="AH614" s="2"/>
      <c r="AI614" s="2"/>
      <c r="AM614" s="14"/>
      <c r="AN614" s="14"/>
      <c r="AO614" s="14"/>
      <c r="AP614" s="14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3"/>
      <c r="AF615" s="2"/>
      <c r="AG615" s="2"/>
      <c r="AH615" s="2"/>
      <c r="AI615" s="2"/>
      <c r="AM615" s="14"/>
      <c r="AN615" s="14"/>
      <c r="AO615" s="14"/>
      <c r="AP615" s="14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3"/>
      <c r="AF616" s="2"/>
      <c r="AG616" s="2"/>
      <c r="AH616" s="2"/>
      <c r="AI616" s="2"/>
      <c r="AM616" s="14"/>
      <c r="AN616" s="14"/>
      <c r="AO616" s="14"/>
      <c r="AP616" s="14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3"/>
      <c r="AF617" s="2"/>
      <c r="AG617" s="2"/>
      <c r="AH617" s="2"/>
      <c r="AI617" s="2"/>
      <c r="AM617" s="14"/>
      <c r="AN617" s="14"/>
      <c r="AO617" s="14"/>
      <c r="AP617" s="14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3"/>
      <c r="AF618" s="2"/>
      <c r="AG618" s="2"/>
      <c r="AH618" s="2"/>
      <c r="AI618" s="2"/>
      <c r="AM618" s="14"/>
      <c r="AN618" s="14"/>
      <c r="AO618" s="14"/>
      <c r="AP618" s="14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3"/>
      <c r="AF619" s="2"/>
      <c r="AG619" s="2"/>
      <c r="AH619" s="2"/>
      <c r="AI619" s="2"/>
      <c r="AM619" s="14"/>
      <c r="AN619" s="14"/>
      <c r="AO619" s="14"/>
      <c r="AP619" s="14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3"/>
      <c r="AF620" s="2"/>
      <c r="AG620" s="2"/>
      <c r="AH620" s="2"/>
      <c r="AI620" s="2"/>
      <c r="AM620" s="14"/>
      <c r="AN620" s="14"/>
      <c r="AO620" s="14"/>
      <c r="AP620" s="14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3"/>
      <c r="AF621" s="2"/>
      <c r="AG621" s="2"/>
      <c r="AH621" s="2"/>
      <c r="AI621" s="2"/>
      <c r="AM621" s="14"/>
      <c r="AN621" s="14"/>
      <c r="AO621" s="14"/>
      <c r="AP621" s="14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3"/>
      <c r="AF622" s="2"/>
      <c r="AG622" s="2"/>
      <c r="AH622" s="2"/>
      <c r="AI622" s="2"/>
      <c r="AM622" s="14"/>
      <c r="AN622" s="14"/>
      <c r="AO622" s="14"/>
      <c r="AP622" s="14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3"/>
      <c r="AF623" s="2"/>
      <c r="AG623" s="2"/>
      <c r="AH623" s="2"/>
      <c r="AI623" s="2"/>
      <c r="AM623" s="14"/>
      <c r="AN623" s="14"/>
      <c r="AO623" s="14"/>
      <c r="AP623" s="14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3"/>
      <c r="AF624" s="2"/>
      <c r="AG624" s="2"/>
      <c r="AH624" s="2"/>
      <c r="AI624" s="2"/>
      <c r="AM624" s="14"/>
      <c r="AN624" s="14"/>
      <c r="AO624" s="14"/>
      <c r="AP624" s="14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3"/>
      <c r="AF625" s="2"/>
      <c r="AG625" s="2"/>
      <c r="AH625" s="2"/>
      <c r="AI625" s="2"/>
      <c r="AM625" s="14"/>
      <c r="AN625" s="14"/>
      <c r="AO625" s="14"/>
      <c r="AP625" s="14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3"/>
      <c r="AF626" s="2"/>
      <c r="AG626" s="2"/>
      <c r="AH626" s="2"/>
      <c r="AI626" s="2"/>
      <c r="AM626" s="14"/>
      <c r="AN626" s="14"/>
      <c r="AO626" s="14"/>
      <c r="AP626" s="14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3"/>
      <c r="AF627" s="2"/>
      <c r="AG627" s="2"/>
      <c r="AH627" s="2"/>
      <c r="AI627" s="2"/>
      <c r="AM627" s="14"/>
      <c r="AN627" s="14"/>
      <c r="AO627" s="14"/>
      <c r="AP627" s="14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3"/>
      <c r="AF628" s="2"/>
      <c r="AG628" s="2"/>
      <c r="AH628" s="2"/>
      <c r="AI628" s="2"/>
      <c r="AM628" s="14"/>
      <c r="AN628" s="14"/>
      <c r="AO628" s="14"/>
      <c r="AP628" s="14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3"/>
      <c r="AF629" s="2"/>
      <c r="AG629" s="2"/>
      <c r="AH629" s="2"/>
      <c r="AI629" s="2"/>
      <c r="AM629" s="14"/>
      <c r="AN629" s="14"/>
      <c r="AO629" s="14"/>
      <c r="AP629" s="14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3"/>
      <c r="AF630" s="2"/>
      <c r="AG630" s="2"/>
      <c r="AH630" s="2"/>
      <c r="AI630" s="2"/>
      <c r="AM630" s="14"/>
      <c r="AN630" s="14"/>
      <c r="AO630" s="14"/>
      <c r="AP630" s="14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3"/>
      <c r="AF631" s="2"/>
      <c r="AG631" s="2"/>
      <c r="AH631" s="2"/>
      <c r="AI631" s="2"/>
      <c r="AM631" s="14"/>
      <c r="AN631" s="14"/>
      <c r="AO631" s="14"/>
      <c r="AP631" s="14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3"/>
      <c r="AF632" s="2"/>
      <c r="AG632" s="2"/>
      <c r="AH632" s="2"/>
      <c r="AI632" s="2"/>
      <c r="AM632" s="14"/>
      <c r="AN632" s="14"/>
      <c r="AO632" s="14"/>
      <c r="AP632" s="14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3"/>
      <c r="AF633" s="2"/>
      <c r="AG633" s="2"/>
      <c r="AH633" s="2"/>
      <c r="AI633" s="2"/>
      <c r="AM633" s="14"/>
      <c r="AN633" s="14"/>
      <c r="AO633" s="14"/>
      <c r="AP633" s="14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3"/>
      <c r="AF634" s="2"/>
      <c r="AG634" s="2"/>
      <c r="AH634" s="2"/>
      <c r="AI634" s="2"/>
      <c r="AM634" s="14"/>
      <c r="AN634" s="14"/>
      <c r="AO634" s="14"/>
      <c r="AP634" s="14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3"/>
      <c r="AF635" s="2"/>
      <c r="AG635" s="2"/>
      <c r="AH635" s="2"/>
      <c r="AI635" s="2"/>
      <c r="AM635" s="14"/>
      <c r="AN635" s="14"/>
      <c r="AO635" s="14"/>
      <c r="AP635" s="14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3"/>
      <c r="AF636" s="2"/>
      <c r="AG636" s="2"/>
      <c r="AH636" s="2"/>
      <c r="AI636" s="2"/>
      <c r="AM636" s="14"/>
      <c r="AN636" s="14"/>
      <c r="AO636" s="14"/>
      <c r="AP636" s="14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3"/>
      <c r="AF637" s="2"/>
      <c r="AG637" s="2"/>
      <c r="AH637" s="2"/>
      <c r="AI637" s="2"/>
      <c r="AM637" s="14"/>
      <c r="AN637" s="14"/>
      <c r="AO637" s="14"/>
      <c r="AP637" s="14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3"/>
      <c r="AF638" s="2"/>
      <c r="AG638" s="2"/>
      <c r="AH638" s="2"/>
      <c r="AI638" s="2"/>
      <c r="AM638" s="14"/>
      <c r="AN638" s="14"/>
      <c r="AO638" s="14"/>
      <c r="AP638" s="14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3"/>
      <c r="AF639" s="2"/>
      <c r="AG639" s="2"/>
      <c r="AH639" s="2"/>
      <c r="AI639" s="2"/>
      <c r="AM639" s="14"/>
      <c r="AN639" s="14"/>
      <c r="AO639" s="14"/>
      <c r="AP639" s="14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3"/>
      <c r="AF640" s="2"/>
      <c r="AG640" s="2"/>
      <c r="AH640" s="2"/>
      <c r="AI640" s="2"/>
      <c r="AM640" s="14"/>
      <c r="AN640" s="14"/>
      <c r="AO640" s="14"/>
      <c r="AP640" s="14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3"/>
      <c r="AF641" s="2"/>
      <c r="AG641" s="2"/>
      <c r="AH641" s="2"/>
      <c r="AI641" s="2"/>
      <c r="AM641" s="14"/>
      <c r="AN641" s="14"/>
      <c r="AO641" s="14"/>
      <c r="AP641" s="14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3"/>
      <c r="AF642" s="2"/>
      <c r="AG642" s="2"/>
      <c r="AH642" s="2"/>
      <c r="AI642" s="2"/>
      <c r="AM642" s="14"/>
      <c r="AN642" s="14"/>
      <c r="AO642" s="14"/>
      <c r="AP642" s="14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3"/>
      <c r="AF643" s="2"/>
      <c r="AG643" s="2"/>
      <c r="AH643" s="2"/>
      <c r="AI643" s="2"/>
      <c r="AM643" s="14"/>
      <c r="AN643" s="14"/>
      <c r="AO643" s="14"/>
      <c r="AP643" s="14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3"/>
      <c r="AF644" s="2"/>
      <c r="AG644" s="2"/>
      <c r="AH644" s="2"/>
      <c r="AI644" s="2"/>
      <c r="AM644" s="14"/>
      <c r="AN644" s="14"/>
      <c r="AO644" s="14"/>
      <c r="AP644" s="14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3"/>
      <c r="AF645" s="2"/>
      <c r="AG645" s="2"/>
      <c r="AH645" s="2"/>
      <c r="AI645" s="2"/>
      <c r="AM645" s="14"/>
      <c r="AN645" s="14"/>
      <c r="AO645" s="14"/>
      <c r="AP645" s="14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3"/>
      <c r="AF646" s="2"/>
      <c r="AG646" s="2"/>
      <c r="AH646" s="2"/>
      <c r="AI646" s="2"/>
      <c r="AM646" s="14"/>
      <c r="AN646" s="14"/>
      <c r="AO646" s="14"/>
      <c r="AP646" s="14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3"/>
      <c r="AF647" s="2"/>
      <c r="AG647" s="2"/>
      <c r="AH647" s="2"/>
      <c r="AI647" s="2"/>
      <c r="AM647" s="14"/>
      <c r="AN647" s="14"/>
      <c r="AO647" s="14"/>
      <c r="AP647" s="14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3"/>
      <c r="AF648" s="2"/>
      <c r="AG648" s="2"/>
      <c r="AH648" s="2"/>
      <c r="AI648" s="2"/>
      <c r="AM648" s="14"/>
      <c r="AN648" s="14"/>
      <c r="AO648" s="14"/>
      <c r="AP648" s="14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3"/>
      <c r="AF649" s="2"/>
      <c r="AG649" s="2"/>
      <c r="AH649" s="2"/>
      <c r="AI649" s="2"/>
      <c r="AM649" s="14"/>
      <c r="AN649" s="14"/>
      <c r="AO649" s="14"/>
      <c r="AP649" s="14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3"/>
      <c r="AF650" s="2"/>
      <c r="AG650" s="2"/>
      <c r="AH650" s="2"/>
      <c r="AI650" s="2"/>
      <c r="AM650" s="14"/>
      <c r="AN650" s="14"/>
      <c r="AO650" s="14"/>
      <c r="AP650" s="14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3"/>
      <c r="AF651" s="2"/>
      <c r="AG651" s="2"/>
      <c r="AH651" s="2"/>
      <c r="AI651" s="2"/>
      <c r="AM651" s="14"/>
      <c r="AN651" s="14"/>
      <c r="AO651" s="14"/>
      <c r="AP651" s="14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3"/>
      <c r="AF652" s="2"/>
      <c r="AG652" s="2"/>
      <c r="AH652" s="2"/>
      <c r="AI652" s="2"/>
      <c r="AM652" s="14"/>
      <c r="AN652" s="14"/>
      <c r="AO652" s="14"/>
      <c r="AP652" s="14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3"/>
      <c r="AF653" s="2"/>
      <c r="AG653" s="2"/>
      <c r="AH653" s="2"/>
      <c r="AI653" s="2"/>
      <c r="AM653" s="14"/>
      <c r="AN653" s="14"/>
      <c r="AO653" s="14"/>
      <c r="AP653" s="14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3"/>
      <c r="AF654" s="2"/>
      <c r="AG654" s="2"/>
      <c r="AH654" s="2"/>
      <c r="AI654" s="2"/>
      <c r="AM654" s="14"/>
      <c r="AN654" s="14"/>
      <c r="AO654" s="14"/>
      <c r="AP654" s="14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3"/>
      <c r="AF655" s="2"/>
      <c r="AG655" s="2"/>
      <c r="AH655" s="2"/>
      <c r="AI655" s="2"/>
      <c r="AM655" s="14"/>
      <c r="AN655" s="14"/>
      <c r="AO655" s="14"/>
      <c r="AP655" s="14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3"/>
      <c r="AF656" s="2"/>
      <c r="AG656" s="2"/>
      <c r="AH656" s="2"/>
      <c r="AI656" s="2"/>
      <c r="AM656" s="14"/>
      <c r="AN656" s="14"/>
      <c r="AO656" s="14"/>
      <c r="AP656" s="14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3"/>
      <c r="AF657" s="2"/>
      <c r="AG657" s="2"/>
      <c r="AH657" s="2"/>
      <c r="AI657" s="2"/>
      <c r="AM657" s="14"/>
      <c r="AN657" s="14"/>
      <c r="AO657" s="14"/>
      <c r="AP657" s="14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3"/>
      <c r="AF658" s="2"/>
      <c r="AG658" s="2"/>
      <c r="AH658" s="2"/>
      <c r="AI658" s="2"/>
      <c r="AM658" s="14"/>
      <c r="AN658" s="14"/>
      <c r="AO658" s="14"/>
      <c r="AP658" s="14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3"/>
      <c r="AF659" s="2"/>
      <c r="AG659" s="2"/>
      <c r="AH659" s="2"/>
      <c r="AI659" s="2"/>
      <c r="AM659" s="14"/>
      <c r="AN659" s="14"/>
      <c r="AO659" s="14"/>
      <c r="AP659" s="14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3"/>
      <c r="AF660" s="2"/>
      <c r="AG660" s="2"/>
      <c r="AH660" s="2"/>
      <c r="AI660" s="2"/>
      <c r="AM660" s="14"/>
      <c r="AN660" s="14"/>
      <c r="AO660" s="14"/>
      <c r="AP660" s="14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3"/>
      <c r="AF661" s="2"/>
      <c r="AG661" s="2"/>
      <c r="AH661" s="2"/>
      <c r="AI661" s="2"/>
      <c r="AM661" s="14"/>
      <c r="AN661" s="14"/>
      <c r="AO661" s="14"/>
      <c r="AP661" s="14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3"/>
      <c r="AF662" s="2"/>
      <c r="AG662" s="2"/>
      <c r="AH662" s="2"/>
      <c r="AI662" s="2"/>
      <c r="AM662" s="14"/>
      <c r="AN662" s="14"/>
      <c r="AO662" s="14"/>
      <c r="AP662" s="14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3"/>
      <c r="AF663" s="2"/>
      <c r="AG663" s="2"/>
      <c r="AH663" s="2"/>
      <c r="AI663" s="2"/>
      <c r="AM663" s="14"/>
      <c r="AN663" s="14"/>
      <c r="AO663" s="14"/>
      <c r="AP663" s="14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3"/>
      <c r="AF664" s="2"/>
      <c r="AG664" s="2"/>
      <c r="AH664" s="2"/>
      <c r="AI664" s="2"/>
      <c r="AM664" s="14"/>
      <c r="AN664" s="14"/>
      <c r="AO664" s="14"/>
      <c r="AP664" s="14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3"/>
      <c r="AF665" s="2"/>
      <c r="AG665" s="2"/>
      <c r="AH665" s="2"/>
      <c r="AI665" s="2"/>
      <c r="AM665" s="14"/>
      <c r="AN665" s="14"/>
      <c r="AO665" s="14"/>
      <c r="AP665" s="14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3"/>
      <c r="AF666" s="2"/>
      <c r="AG666" s="2"/>
      <c r="AH666" s="2"/>
      <c r="AI666" s="2"/>
      <c r="AM666" s="14"/>
      <c r="AN666" s="14"/>
      <c r="AO666" s="14"/>
      <c r="AP666" s="14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3"/>
      <c r="AF667" s="2"/>
      <c r="AG667" s="2"/>
      <c r="AH667" s="2"/>
      <c r="AI667" s="2"/>
      <c r="AM667" s="14"/>
      <c r="AN667" s="14"/>
      <c r="AO667" s="14"/>
      <c r="AP667" s="14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3"/>
      <c r="AF668" s="2"/>
      <c r="AG668" s="2"/>
      <c r="AH668" s="2"/>
      <c r="AI668" s="2"/>
      <c r="AM668" s="14"/>
      <c r="AN668" s="14"/>
      <c r="AO668" s="14"/>
      <c r="AP668" s="14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3"/>
      <c r="AF669" s="2"/>
      <c r="AG669" s="2"/>
      <c r="AH669" s="2"/>
      <c r="AI669" s="2"/>
      <c r="AM669" s="14"/>
      <c r="AN669" s="14"/>
      <c r="AO669" s="14"/>
      <c r="AP669" s="14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3"/>
      <c r="AF670" s="2"/>
      <c r="AG670" s="2"/>
      <c r="AH670" s="2"/>
      <c r="AI670" s="2"/>
      <c r="AM670" s="14"/>
      <c r="AN670" s="14"/>
      <c r="AO670" s="14"/>
      <c r="AP670" s="14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3"/>
      <c r="AF671" s="2"/>
      <c r="AG671" s="2"/>
      <c r="AH671" s="2"/>
      <c r="AI671" s="2"/>
      <c r="AM671" s="14"/>
      <c r="AN671" s="14"/>
      <c r="AO671" s="14"/>
      <c r="AP671" s="14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3"/>
      <c r="AF672" s="2"/>
      <c r="AG672" s="2"/>
      <c r="AH672" s="2"/>
      <c r="AI672" s="2"/>
      <c r="AM672" s="14"/>
      <c r="AN672" s="14"/>
      <c r="AO672" s="14"/>
      <c r="AP672" s="14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3"/>
      <c r="AF673" s="2"/>
      <c r="AG673" s="2"/>
      <c r="AH673" s="2"/>
      <c r="AI673" s="2"/>
      <c r="AM673" s="14"/>
      <c r="AN673" s="14"/>
      <c r="AO673" s="14"/>
      <c r="AP673" s="14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3"/>
      <c r="AF674" s="2"/>
      <c r="AG674" s="2"/>
      <c r="AH674" s="2"/>
      <c r="AI674" s="2"/>
      <c r="AM674" s="14"/>
      <c r="AN674" s="14"/>
      <c r="AO674" s="14"/>
      <c r="AP674" s="14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3"/>
      <c r="AF675" s="2"/>
      <c r="AG675" s="2"/>
      <c r="AH675" s="2"/>
      <c r="AI675" s="2"/>
      <c r="AM675" s="14"/>
      <c r="AN675" s="14"/>
      <c r="AO675" s="14"/>
      <c r="AP675" s="14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3"/>
      <c r="AF676" s="2"/>
      <c r="AG676" s="2"/>
      <c r="AH676" s="2"/>
      <c r="AI676" s="2"/>
      <c r="AM676" s="14"/>
      <c r="AN676" s="14"/>
      <c r="AO676" s="14"/>
      <c r="AP676" s="14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3"/>
      <c r="AF677" s="2"/>
      <c r="AG677" s="2"/>
      <c r="AH677" s="2"/>
      <c r="AI677" s="2"/>
      <c r="AM677" s="14"/>
      <c r="AN677" s="14"/>
      <c r="AO677" s="14"/>
      <c r="AP677" s="14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3"/>
      <c r="AF678" s="2"/>
      <c r="AG678" s="2"/>
      <c r="AH678" s="2"/>
      <c r="AI678" s="2"/>
      <c r="AM678" s="14"/>
      <c r="AN678" s="14"/>
      <c r="AO678" s="14"/>
      <c r="AP678" s="14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3"/>
      <c r="AF679" s="2"/>
      <c r="AG679" s="2"/>
      <c r="AH679" s="2"/>
      <c r="AI679" s="2"/>
      <c r="AM679" s="14"/>
      <c r="AN679" s="14"/>
      <c r="AO679" s="14"/>
      <c r="AP679" s="14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3"/>
      <c r="AF680" s="2"/>
      <c r="AG680" s="2"/>
      <c r="AH680" s="2"/>
      <c r="AI680" s="2"/>
      <c r="AM680" s="14"/>
      <c r="AN680" s="14"/>
      <c r="AO680" s="14"/>
      <c r="AP680" s="14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3"/>
      <c r="AF681" s="2"/>
      <c r="AG681" s="2"/>
      <c r="AH681" s="2"/>
      <c r="AI681" s="2"/>
      <c r="AM681" s="14"/>
      <c r="AN681" s="14"/>
      <c r="AO681" s="14"/>
      <c r="AP681" s="14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3"/>
      <c r="AF682" s="2"/>
      <c r="AG682" s="2"/>
      <c r="AH682" s="2"/>
      <c r="AI682" s="2"/>
      <c r="AM682" s="14"/>
      <c r="AN682" s="14"/>
      <c r="AO682" s="14"/>
      <c r="AP682" s="14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3"/>
      <c r="AF683" s="2"/>
      <c r="AG683" s="2"/>
      <c r="AH683" s="2"/>
      <c r="AI683" s="2"/>
      <c r="AM683" s="14"/>
      <c r="AN683" s="14"/>
      <c r="AO683" s="14"/>
      <c r="AP683" s="14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3"/>
      <c r="AF684" s="2"/>
      <c r="AG684" s="2"/>
      <c r="AH684" s="2"/>
      <c r="AI684" s="2"/>
      <c r="AM684" s="14"/>
      <c r="AN684" s="14"/>
      <c r="AO684" s="14"/>
      <c r="AP684" s="14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3"/>
      <c r="AF685" s="2"/>
      <c r="AG685" s="2"/>
      <c r="AH685" s="2"/>
      <c r="AI685" s="2"/>
      <c r="AM685" s="14"/>
      <c r="AN685" s="14"/>
      <c r="AO685" s="14"/>
      <c r="AP685" s="14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3"/>
      <c r="AF686" s="2"/>
      <c r="AG686" s="2"/>
      <c r="AH686" s="2"/>
      <c r="AI686" s="2"/>
      <c r="AM686" s="14"/>
      <c r="AN686" s="14"/>
      <c r="AO686" s="14"/>
      <c r="AP686" s="14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3"/>
      <c r="AF687" s="2"/>
      <c r="AG687" s="2"/>
      <c r="AH687" s="2"/>
      <c r="AI687" s="2"/>
      <c r="AM687" s="14"/>
      <c r="AN687" s="14"/>
      <c r="AO687" s="14"/>
      <c r="AP687" s="14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3"/>
      <c r="AF688" s="2"/>
      <c r="AG688" s="2"/>
      <c r="AH688" s="2"/>
      <c r="AI688" s="2"/>
      <c r="AM688" s="14"/>
      <c r="AN688" s="14"/>
      <c r="AO688" s="14"/>
      <c r="AP688" s="14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3"/>
      <c r="AF689" s="2"/>
      <c r="AG689" s="2"/>
      <c r="AH689" s="2"/>
      <c r="AI689" s="2"/>
      <c r="AM689" s="14"/>
      <c r="AN689" s="14"/>
      <c r="AO689" s="14"/>
      <c r="AP689" s="14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3"/>
      <c r="AF690" s="2"/>
      <c r="AG690" s="2"/>
      <c r="AH690" s="2"/>
      <c r="AI690" s="2"/>
      <c r="AM690" s="14"/>
      <c r="AN690" s="14"/>
      <c r="AO690" s="14"/>
      <c r="AP690" s="14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3"/>
      <c r="AF691" s="2"/>
      <c r="AG691" s="2"/>
      <c r="AH691" s="2"/>
      <c r="AI691" s="2"/>
      <c r="AM691" s="14"/>
      <c r="AN691" s="14"/>
      <c r="AO691" s="14"/>
      <c r="AP691" s="14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3"/>
      <c r="AF692" s="2"/>
      <c r="AG692" s="2"/>
      <c r="AH692" s="2"/>
      <c r="AI692" s="2"/>
      <c r="AM692" s="14"/>
      <c r="AN692" s="14"/>
      <c r="AO692" s="14"/>
      <c r="AP692" s="14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3"/>
      <c r="AF693" s="2"/>
      <c r="AG693" s="2"/>
      <c r="AH693" s="2"/>
      <c r="AI693" s="2"/>
      <c r="AM693" s="14"/>
      <c r="AN693" s="14"/>
      <c r="AO693" s="14"/>
      <c r="AP693" s="14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3"/>
      <c r="AF694" s="2"/>
      <c r="AG694" s="2"/>
      <c r="AH694" s="2"/>
      <c r="AI694" s="2"/>
      <c r="AM694" s="14"/>
      <c r="AN694" s="14"/>
      <c r="AO694" s="14"/>
      <c r="AP694" s="14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3"/>
      <c r="AF695" s="2"/>
      <c r="AG695" s="2"/>
      <c r="AH695" s="2"/>
      <c r="AI695" s="2"/>
      <c r="AM695" s="14"/>
      <c r="AN695" s="14"/>
      <c r="AO695" s="14"/>
      <c r="AP695" s="14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3"/>
      <c r="AF696" s="2"/>
      <c r="AG696" s="2"/>
      <c r="AH696" s="2"/>
      <c r="AI696" s="2"/>
      <c r="AM696" s="14"/>
      <c r="AN696" s="14"/>
      <c r="AO696" s="14"/>
      <c r="AP696" s="14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3"/>
      <c r="AF697" s="2"/>
      <c r="AG697" s="2"/>
      <c r="AH697" s="2"/>
      <c r="AI697" s="2"/>
      <c r="AM697" s="14"/>
      <c r="AN697" s="14"/>
      <c r="AO697" s="14"/>
      <c r="AP697" s="14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3"/>
      <c r="AF698" s="2"/>
      <c r="AG698" s="2"/>
      <c r="AH698" s="2"/>
      <c r="AI698" s="2"/>
      <c r="AM698" s="14"/>
      <c r="AN698" s="14"/>
      <c r="AO698" s="14"/>
      <c r="AP698" s="14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3"/>
      <c r="AF699" s="2"/>
      <c r="AG699" s="2"/>
      <c r="AH699" s="2"/>
      <c r="AI699" s="2"/>
      <c r="AM699" s="14"/>
      <c r="AN699" s="14"/>
      <c r="AO699" s="14"/>
      <c r="AP699" s="14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3"/>
      <c r="AF700" s="2"/>
      <c r="AG700" s="2"/>
      <c r="AH700" s="2"/>
      <c r="AI700" s="2"/>
      <c r="AM700" s="14"/>
      <c r="AN700" s="14"/>
      <c r="AO700" s="14"/>
      <c r="AP700" s="14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3"/>
      <c r="AF701" s="2"/>
      <c r="AG701" s="2"/>
      <c r="AH701" s="2"/>
      <c r="AI701" s="2"/>
      <c r="AM701" s="14"/>
      <c r="AN701" s="14"/>
      <c r="AO701" s="14"/>
      <c r="AP701" s="14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3"/>
      <c r="AF702" s="2"/>
      <c r="AG702" s="2"/>
      <c r="AH702" s="2"/>
      <c r="AI702" s="2"/>
      <c r="AM702" s="14"/>
      <c r="AN702" s="14"/>
      <c r="AO702" s="14"/>
      <c r="AP702" s="14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3"/>
      <c r="AF703" s="2"/>
      <c r="AG703" s="2"/>
      <c r="AH703" s="2"/>
      <c r="AI703" s="2"/>
      <c r="AM703" s="14"/>
      <c r="AN703" s="14"/>
      <c r="AO703" s="14"/>
      <c r="AP703" s="14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3"/>
      <c r="AF704" s="2"/>
      <c r="AG704" s="2"/>
      <c r="AH704" s="2"/>
      <c r="AI704" s="2"/>
      <c r="AM704" s="14"/>
      <c r="AN704" s="14"/>
      <c r="AO704" s="14"/>
      <c r="AP704" s="14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3"/>
      <c r="AF705" s="2"/>
      <c r="AG705" s="2"/>
      <c r="AH705" s="2"/>
      <c r="AI705" s="2"/>
      <c r="AM705" s="14"/>
      <c r="AN705" s="14"/>
      <c r="AO705" s="14"/>
      <c r="AP705" s="14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3"/>
      <c r="AF706" s="2"/>
      <c r="AG706" s="2"/>
      <c r="AH706" s="2"/>
      <c r="AI706" s="2"/>
      <c r="AM706" s="14"/>
      <c r="AN706" s="14"/>
      <c r="AO706" s="14"/>
      <c r="AP706" s="14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3"/>
      <c r="AF707" s="2"/>
      <c r="AG707" s="2"/>
      <c r="AH707" s="2"/>
      <c r="AI707" s="2"/>
      <c r="AM707" s="14"/>
      <c r="AN707" s="14"/>
      <c r="AO707" s="14"/>
      <c r="AP707" s="14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3"/>
      <c r="AF708" s="2"/>
      <c r="AG708" s="2"/>
      <c r="AH708" s="2"/>
      <c r="AI708" s="2"/>
      <c r="AM708" s="14"/>
      <c r="AN708" s="14"/>
      <c r="AO708" s="14"/>
      <c r="AP708" s="14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3"/>
      <c r="AF709" s="2"/>
      <c r="AG709" s="2"/>
      <c r="AH709" s="2"/>
      <c r="AI709" s="2"/>
      <c r="AM709" s="14"/>
      <c r="AN709" s="14"/>
      <c r="AO709" s="14"/>
      <c r="AP709" s="14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3"/>
      <c r="AF710" s="2"/>
      <c r="AG710" s="2"/>
      <c r="AH710" s="2"/>
      <c r="AI710" s="2"/>
      <c r="AM710" s="14"/>
      <c r="AN710" s="14"/>
      <c r="AO710" s="14"/>
      <c r="AP710" s="14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3"/>
      <c r="AF711" s="2"/>
      <c r="AG711" s="2"/>
      <c r="AH711" s="2"/>
      <c r="AI711" s="2"/>
      <c r="AM711" s="14"/>
      <c r="AN711" s="14"/>
      <c r="AO711" s="14"/>
      <c r="AP711" s="14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3"/>
      <c r="AF712" s="2"/>
      <c r="AG712" s="2"/>
      <c r="AH712" s="2"/>
      <c r="AI712" s="2"/>
      <c r="AM712" s="14"/>
      <c r="AN712" s="14"/>
      <c r="AO712" s="14"/>
      <c r="AP712" s="14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3"/>
      <c r="AF713" s="2"/>
      <c r="AG713" s="2"/>
      <c r="AH713" s="2"/>
      <c r="AI713" s="2"/>
      <c r="AM713" s="14"/>
      <c r="AN713" s="14"/>
      <c r="AO713" s="14"/>
      <c r="AP713" s="14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3"/>
      <c r="AF714" s="2"/>
      <c r="AG714" s="2"/>
      <c r="AH714" s="2"/>
      <c r="AI714" s="2"/>
      <c r="AM714" s="14"/>
      <c r="AN714" s="14"/>
      <c r="AO714" s="14"/>
      <c r="AP714" s="14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3"/>
      <c r="AF715" s="2"/>
      <c r="AG715" s="2"/>
      <c r="AH715" s="2"/>
      <c r="AI715" s="2"/>
      <c r="AM715" s="14"/>
      <c r="AN715" s="14"/>
      <c r="AO715" s="14"/>
      <c r="AP715" s="14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3"/>
      <c r="AF716" s="2"/>
      <c r="AG716" s="2"/>
      <c r="AH716" s="2"/>
      <c r="AI716" s="2"/>
      <c r="AM716" s="14"/>
      <c r="AN716" s="14"/>
      <c r="AO716" s="14"/>
      <c r="AP716" s="14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3"/>
      <c r="AF717" s="2"/>
      <c r="AG717" s="2"/>
      <c r="AH717" s="2"/>
      <c r="AI717" s="2"/>
      <c r="AM717" s="14"/>
      <c r="AN717" s="14"/>
      <c r="AO717" s="14"/>
      <c r="AP717" s="14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3"/>
      <c r="AF718" s="2"/>
      <c r="AG718" s="2"/>
      <c r="AH718" s="2"/>
      <c r="AI718" s="2"/>
      <c r="AM718" s="14"/>
      <c r="AN718" s="14"/>
      <c r="AO718" s="14"/>
      <c r="AP718" s="14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3"/>
      <c r="AF719" s="2"/>
      <c r="AG719" s="2"/>
      <c r="AH719" s="2"/>
      <c r="AI719" s="2"/>
      <c r="AM719" s="14"/>
      <c r="AN719" s="14"/>
      <c r="AO719" s="14"/>
      <c r="AP719" s="14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3"/>
      <c r="AF720" s="2"/>
      <c r="AG720" s="2"/>
      <c r="AH720" s="2"/>
      <c r="AI720" s="2"/>
      <c r="AM720" s="14"/>
      <c r="AN720" s="14"/>
      <c r="AO720" s="14"/>
      <c r="AP720" s="14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3"/>
      <c r="AF721" s="2"/>
      <c r="AG721" s="2"/>
      <c r="AH721" s="2"/>
      <c r="AI721" s="2"/>
      <c r="AM721" s="14"/>
      <c r="AN721" s="14"/>
      <c r="AO721" s="14"/>
      <c r="AP721" s="14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3"/>
      <c r="AF722" s="2"/>
      <c r="AG722" s="2"/>
      <c r="AH722" s="2"/>
      <c r="AI722" s="2"/>
      <c r="AM722" s="14"/>
      <c r="AN722" s="14"/>
      <c r="AO722" s="14"/>
      <c r="AP722" s="14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3"/>
      <c r="AF723" s="2"/>
      <c r="AG723" s="2"/>
      <c r="AH723" s="2"/>
      <c r="AI723" s="2"/>
      <c r="AM723" s="14"/>
      <c r="AN723" s="14"/>
      <c r="AO723" s="14"/>
      <c r="AP723" s="14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3"/>
      <c r="AF724" s="2"/>
      <c r="AG724" s="2"/>
      <c r="AH724" s="2"/>
      <c r="AI724" s="2"/>
      <c r="AM724" s="14"/>
      <c r="AN724" s="14"/>
      <c r="AO724" s="14"/>
      <c r="AP724" s="14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3"/>
      <c r="AF725" s="2"/>
      <c r="AG725" s="2"/>
      <c r="AH725" s="2"/>
      <c r="AI725" s="2"/>
      <c r="AM725" s="14"/>
      <c r="AN725" s="14"/>
      <c r="AO725" s="14"/>
      <c r="AP725" s="14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3"/>
      <c r="AF726" s="2"/>
      <c r="AG726" s="2"/>
      <c r="AH726" s="2"/>
      <c r="AI726" s="2"/>
      <c r="AM726" s="14"/>
      <c r="AN726" s="14"/>
      <c r="AO726" s="14"/>
      <c r="AP726" s="14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3"/>
      <c r="AF727" s="2"/>
      <c r="AG727" s="2"/>
      <c r="AH727" s="2"/>
      <c r="AI727" s="2"/>
      <c r="AM727" s="14"/>
      <c r="AN727" s="14"/>
      <c r="AO727" s="14"/>
      <c r="AP727" s="14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3"/>
      <c r="AF728" s="2"/>
      <c r="AG728" s="2"/>
      <c r="AH728" s="2"/>
      <c r="AI728" s="2"/>
      <c r="AM728" s="14"/>
      <c r="AN728" s="14"/>
      <c r="AO728" s="14"/>
      <c r="AP728" s="14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3"/>
      <c r="AF729" s="2"/>
      <c r="AG729" s="2"/>
      <c r="AH729" s="2"/>
      <c r="AI729" s="2"/>
      <c r="AM729" s="14"/>
      <c r="AN729" s="14"/>
      <c r="AO729" s="14"/>
      <c r="AP729" s="14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3"/>
      <c r="AF730" s="2"/>
      <c r="AG730" s="2"/>
      <c r="AH730" s="2"/>
      <c r="AI730" s="2"/>
      <c r="AM730" s="14"/>
      <c r="AN730" s="14"/>
      <c r="AO730" s="14"/>
      <c r="AP730" s="14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3"/>
      <c r="AF731" s="2"/>
      <c r="AG731" s="2"/>
      <c r="AH731" s="2"/>
      <c r="AI731" s="2"/>
      <c r="AM731" s="14"/>
      <c r="AN731" s="14"/>
      <c r="AO731" s="14"/>
      <c r="AP731" s="14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3"/>
      <c r="AF732" s="2"/>
      <c r="AG732" s="2"/>
      <c r="AH732" s="2"/>
      <c r="AI732" s="2"/>
      <c r="AM732" s="14"/>
      <c r="AN732" s="14"/>
      <c r="AO732" s="14"/>
      <c r="AP732" s="14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3"/>
      <c r="AF733" s="2"/>
      <c r="AG733" s="2"/>
      <c r="AH733" s="2"/>
      <c r="AI733" s="2"/>
      <c r="AM733" s="14"/>
      <c r="AN733" s="14"/>
      <c r="AO733" s="14"/>
      <c r="AP733" s="14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3"/>
      <c r="AF734" s="2"/>
      <c r="AG734" s="2"/>
      <c r="AH734" s="2"/>
      <c r="AI734" s="2"/>
      <c r="AM734" s="14"/>
      <c r="AN734" s="14"/>
      <c r="AO734" s="14"/>
      <c r="AP734" s="14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3"/>
      <c r="AF735" s="2"/>
      <c r="AG735" s="2"/>
      <c r="AH735" s="2"/>
      <c r="AI735" s="2"/>
      <c r="AM735" s="14"/>
      <c r="AN735" s="14"/>
      <c r="AO735" s="14"/>
      <c r="AP735" s="14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3"/>
      <c r="AF736" s="2"/>
      <c r="AG736" s="2"/>
      <c r="AH736" s="2"/>
      <c r="AI736" s="2"/>
      <c r="AM736" s="14"/>
      <c r="AN736" s="14"/>
      <c r="AO736" s="14"/>
      <c r="AP736" s="14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3"/>
      <c r="AF737" s="2"/>
      <c r="AG737" s="2"/>
      <c r="AH737" s="2"/>
      <c r="AI737" s="2"/>
      <c r="AM737" s="14"/>
      <c r="AN737" s="14"/>
      <c r="AO737" s="14"/>
      <c r="AP737" s="14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3"/>
      <c r="AF738" s="2"/>
      <c r="AG738" s="2"/>
      <c r="AH738" s="2"/>
      <c r="AI738" s="2"/>
      <c r="AM738" s="14"/>
      <c r="AN738" s="14"/>
      <c r="AO738" s="14"/>
      <c r="AP738" s="14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3"/>
      <c r="AF739" s="2"/>
      <c r="AG739" s="2"/>
      <c r="AH739" s="2"/>
      <c r="AI739" s="2"/>
      <c r="AM739" s="14"/>
      <c r="AN739" s="14"/>
      <c r="AO739" s="14"/>
      <c r="AP739" s="14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3"/>
      <c r="AF740" s="2"/>
      <c r="AG740" s="2"/>
      <c r="AH740" s="2"/>
      <c r="AI740" s="2"/>
      <c r="AM740" s="14"/>
      <c r="AN740" s="14"/>
      <c r="AO740" s="14"/>
      <c r="AP740" s="14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3"/>
      <c r="AF741" s="2"/>
      <c r="AG741" s="2"/>
      <c r="AH741" s="2"/>
      <c r="AI741" s="2"/>
      <c r="AM741" s="14"/>
      <c r="AN741" s="14"/>
      <c r="AO741" s="14"/>
      <c r="AP741" s="14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3"/>
      <c r="AF742" s="2"/>
      <c r="AG742" s="2"/>
      <c r="AH742" s="2"/>
      <c r="AI742" s="2"/>
      <c r="AM742" s="14"/>
      <c r="AN742" s="14"/>
      <c r="AO742" s="14"/>
      <c r="AP742" s="14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3"/>
      <c r="AF743" s="2"/>
      <c r="AG743" s="2"/>
      <c r="AH743" s="2"/>
      <c r="AI743" s="2"/>
      <c r="AM743" s="14"/>
      <c r="AN743" s="14"/>
      <c r="AO743" s="14"/>
      <c r="AP743" s="14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3"/>
      <c r="AF744" s="2"/>
      <c r="AG744" s="2"/>
      <c r="AH744" s="2"/>
      <c r="AI744" s="2"/>
      <c r="AM744" s="14"/>
      <c r="AN744" s="14"/>
      <c r="AO744" s="14"/>
      <c r="AP744" s="14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3"/>
      <c r="AF745" s="2"/>
      <c r="AG745" s="2"/>
      <c r="AH745" s="2"/>
      <c r="AI745" s="2"/>
      <c r="AM745" s="14"/>
      <c r="AN745" s="14"/>
      <c r="AO745" s="14"/>
      <c r="AP745" s="14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3"/>
      <c r="AF746" s="2"/>
      <c r="AG746" s="2"/>
      <c r="AH746" s="2"/>
      <c r="AI746" s="2"/>
      <c r="AM746" s="14"/>
      <c r="AN746" s="14"/>
      <c r="AO746" s="14"/>
      <c r="AP746" s="14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3"/>
      <c r="AF747" s="2"/>
      <c r="AG747" s="2"/>
      <c r="AH747" s="2"/>
      <c r="AI747" s="2"/>
      <c r="AM747" s="14"/>
      <c r="AN747" s="14"/>
      <c r="AO747" s="14"/>
      <c r="AP747" s="14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3"/>
      <c r="AF748" s="2"/>
      <c r="AG748" s="2"/>
      <c r="AH748" s="2"/>
      <c r="AI748" s="2"/>
      <c r="AM748" s="14"/>
      <c r="AN748" s="14"/>
      <c r="AO748" s="14"/>
      <c r="AP748" s="14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3"/>
      <c r="AF749" s="2"/>
      <c r="AG749" s="2"/>
      <c r="AH749" s="2"/>
      <c r="AI749" s="2"/>
      <c r="AM749" s="14"/>
      <c r="AN749" s="14"/>
      <c r="AO749" s="14"/>
      <c r="AP749" s="14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3"/>
      <c r="AF750" s="2"/>
      <c r="AG750" s="2"/>
      <c r="AH750" s="2"/>
      <c r="AI750" s="2"/>
      <c r="AM750" s="14"/>
      <c r="AN750" s="14"/>
      <c r="AO750" s="14"/>
      <c r="AP750" s="14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3"/>
      <c r="AF751" s="2"/>
      <c r="AG751" s="2"/>
      <c r="AH751" s="2"/>
      <c r="AI751" s="2"/>
      <c r="AM751" s="14"/>
      <c r="AN751" s="14"/>
      <c r="AO751" s="14"/>
      <c r="AP751" s="14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3"/>
      <c r="AF752" s="2"/>
      <c r="AG752" s="2"/>
      <c r="AH752" s="2"/>
      <c r="AI752" s="2"/>
      <c r="AM752" s="14"/>
      <c r="AN752" s="14"/>
      <c r="AO752" s="14"/>
      <c r="AP752" s="14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3"/>
      <c r="AF753" s="2"/>
      <c r="AG753" s="2"/>
      <c r="AH753" s="2"/>
      <c r="AI753" s="2"/>
      <c r="AM753" s="14"/>
      <c r="AN753" s="14"/>
      <c r="AO753" s="14"/>
      <c r="AP753" s="14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3"/>
      <c r="AF754" s="2"/>
      <c r="AG754" s="2"/>
      <c r="AH754" s="2"/>
      <c r="AI754" s="2"/>
      <c r="AM754" s="14"/>
      <c r="AN754" s="14"/>
      <c r="AO754" s="14"/>
      <c r="AP754" s="14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3"/>
      <c r="AF755" s="2"/>
      <c r="AG755" s="2"/>
      <c r="AH755" s="2"/>
      <c r="AI755" s="2"/>
      <c r="AM755" s="14"/>
      <c r="AN755" s="14"/>
      <c r="AO755" s="14"/>
      <c r="AP755" s="14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3"/>
      <c r="AF756" s="2"/>
      <c r="AG756" s="2"/>
      <c r="AH756" s="2"/>
      <c r="AI756" s="2"/>
      <c r="AM756" s="14"/>
      <c r="AN756" s="14"/>
      <c r="AO756" s="14"/>
      <c r="AP756" s="14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3"/>
      <c r="AF757" s="2"/>
      <c r="AG757" s="2"/>
      <c r="AH757" s="2"/>
      <c r="AI757" s="2"/>
      <c r="AM757" s="14"/>
      <c r="AN757" s="14"/>
      <c r="AO757" s="14"/>
      <c r="AP757" s="14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3"/>
      <c r="AF758" s="2"/>
      <c r="AG758" s="2"/>
      <c r="AH758" s="2"/>
      <c r="AI758" s="2"/>
      <c r="AM758" s="14"/>
      <c r="AN758" s="14"/>
      <c r="AO758" s="14"/>
      <c r="AP758" s="14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3"/>
      <c r="AF759" s="2"/>
      <c r="AG759" s="2"/>
      <c r="AH759" s="2"/>
      <c r="AI759" s="2"/>
      <c r="AM759" s="14"/>
      <c r="AN759" s="14"/>
      <c r="AO759" s="14"/>
      <c r="AP759" s="14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3"/>
      <c r="AF760" s="2"/>
      <c r="AG760" s="2"/>
      <c r="AH760" s="2"/>
      <c r="AI760" s="2"/>
      <c r="AM760" s="14"/>
      <c r="AN760" s="14"/>
      <c r="AO760" s="14"/>
      <c r="AP760" s="14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3"/>
      <c r="AF761" s="2"/>
      <c r="AG761" s="2"/>
      <c r="AH761" s="2"/>
      <c r="AI761" s="2"/>
      <c r="AM761" s="14"/>
      <c r="AN761" s="14"/>
      <c r="AO761" s="14"/>
      <c r="AP761" s="14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3"/>
      <c r="AF762" s="2"/>
      <c r="AG762" s="2"/>
      <c r="AH762" s="2"/>
      <c r="AI762" s="2"/>
      <c r="AM762" s="14"/>
      <c r="AN762" s="14"/>
      <c r="AO762" s="14"/>
      <c r="AP762" s="14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3"/>
      <c r="AF763" s="2"/>
      <c r="AG763" s="2"/>
      <c r="AH763" s="2"/>
      <c r="AI763" s="2"/>
      <c r="AM763" s="14"/>
      <c r="AN763" s="14"/>
      <c r="AO763" s="14"/>
      <c r="AP763" s="14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3"/>
      <c r="AF764" s="2"/>
      <c r="AG764" s="2"/>
      <c r="AH764" s="2"/>
      <c r="AI764" s="2"/>
      <c r="AM764" s="14"/>
      <c r="AN764" s="14"/>
      <c r="AO764" s="14"/>
      <c r="AP764" s="14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3"/>
      <c r="AF765" s="2"/>
      <c r="AG765" s="2"/>
      <c r="AH765" s="2"/>
      <c r="AI765" s="2"/>
      <c r="AM765" s="14"/>
      <c r="AN765" s="14"/>
      <c r="AO765" s="14"/>
      <c r="AP765" s="14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3"/>
      <c r="AF766" s="2"/>
      <c r="AG766" s="2"/>
      <c r="AH766" s="2"/>
      <c r="AI766" s="2"/>
      <c r="AM766" s="14"/>
      <c r="AN766" s="14"/>
      <c r="AO766" s="14"/>
      <c r="AP766" s="14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3"/>
      <c r="AF767" s="2"/>
      <c r="AG767" s="2"/>
      <c r="AH767" s="2"/>
      <c r="AI767" s="2"/>
      <c r="AM767" s="14"/>
      <c r="AN767" s="14"/>
      <c r="AO767" s="14"/>
      <c r="AP767" s="14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3"/>
      <c r="AF768" s="2"/>
      <c r="AG768" s="2"/>
      <c r="AH768" s="2"/>
      <c r="AI768" s="2"/>
      <c r="AM768" s="14"/>
      <c r="AN768" s="14"/>
      <c r="AO768" s="14"/>
      <c r="AP768" s="14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3"/>
      <c r="AF769" s="2"/>
      <c r="AG769" s="2"/>
      <c r="AH769" s="2"/>
      <c r="AI769" s="2"/>
      <c r="AM769" s="14"/>
      <c r="AN769" s="14"/>
      <c r="AO769" s="14"/>
      <c r="AP769" s="14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3"/>
      <c r="AF770" s="2"/>
      <c r="AG770" s="2"/>
      <c r="AH770" s="2"/>
      <c r="AI770" s="2"/>
      <c r="AM770" s="14"/>
      <c r="AN770" s="14"/>
      <c r="AO770" s="14"/>
      <c r="AP770" s="14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3"/>
      <c r="AF771" s="2"/>
      <c r="AG771" s="2"/>
      <c r="AH771" s="2"/>
      <c r="AI771" s="2"/>
      <c r="AM771" s="14"/>
      <c r="AN771" s="14"/>
      <c r="AO771" s="14"/>
      <c r="AP771" s="14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3"/>
      <c r="AF772" s="2"/>
      <c r="AG772" s="2"/>
      <c r="AH772" s="2"/>
      <c r="AI772" s="2"/>
      <c r="AM772" s="14"/>
      <c r="AN772" s="14"/>
      <c r="AO772" s="14"/>
      <c r="AP772" s="14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3"/>
      <c r="AF773" s="2"/>
      <c r="AG773" s="2"/>
      <c r="AH773" s="2"/>
      <c r="AI773" s="2"/>
      <c r="AM773" s="14"/>
      <c r="AN773" s="14"/>
      <c r="AO773" s="14"/>
      <c r="AP773" s="14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3"/>
      <c r="AF774" s="2"/>
      <c r="AG774" s="2"/>
      <c r="AH774" s="2"/>
      <c r="AI774" s="2"/>
      <c r="AM774" s="14"/>
      <c r="AN774" s="14"/>
      <c r="AO774" s="14"/>
      <c r="AP774" s="14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3"/>
      <c r="AF775" s="2"/>
      <c r="AG775" s="2"/>
      <c r="AH775" s="2"/>
      <c r="AI775" s="2"/>
      <c r="AM775" s="14"/>
      <c r="AN775" s="14"/>
      <c r="AO775" s="14"/>
      <c r="AP775" s="14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3"/>
      <c r="AF776" s="2"/>
      <c r="AG776" s="2"/>
      <c r="AH776" s="2"/>
      <c r="AI776" s="2"/>
      <c r="AM776" s="14"/>
      <c r="AN776" s="14"/>
      <c r="AO776" s="14"/>
      <c r="AP776" s="14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3"/>
      <c r="AF777" s="2"/>
      <c r="AG777" s="2"/>
      <c r="AH777" s="2"/>
      <c r="AI777" s="2"/>
      <c r="AM777" s="14"/>
      <c r="AN777" s="14"/>
      <c r="AO777" s="14"/>
      <c r="AP777" s="14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3"/>
      <c r="AF778" s="2"/>
      <c r="AG778" s="2"/>
      <c r="AH778" s="2"/>
      <c r="AI778" s="2"/>
      <c r="AM778" s="14"/>
      <c r="AN778" s="14"/>
      <c r="AO778" s="14"/>
      <c r="AP778" s="14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3"/>
      <c r="AF779" s="2"/>
      <c r="AG779" s="2"/>
      <c r="AH779" s="2"/>
      <c r="AI779" s="2"/>
      <c r="AM779" s="14"/>
      <c r="AN779" s="14"/>
      <c r="AO779" s="14"/>
      <c r="AP779" s="14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3"/>
      <c r="AF780" s="2"/>
      <c r="AG780" s="2"/>
      <c r="AH780" s="2"/>
      <c r="AI780" s="2"/>
      <c r="AM780" s="14"/>
      <c r="AN780" s="14"/>
      <c r="AO780" s="14"/>
      <c r="AP780" s="14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3"/>
      <c r="AF781" s="2"/>
      <c r="AG781" s="2"/>
      <c r="AH781" s="2"/>
      <c r="AI781" s="2"/>
      <c r="AM781" s="14"/>
      <c r="AN781" s="14"/>
      <c r="AO781" s="14"/>
      <c r="AP781" s="14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3"/>
      <c r="AF782" s="2"/>
      <c r="AG782" s="2"/>
      <c r="AH782" s="2"/>
      <c r="AI782" s="2"/>
      <c r="AM782" s="14"/>
      <c r="AN782" s="14"/>
      <c r="AO782" s="14"/>
      <c r="AP782" s="14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3"/>
      <c r="AF783" s="2"/>
      <c r="AG783" s="2"/>
      <c r="AH783" s="2"/>
      <c r="AI783" s="2"/>
      <c r="AM783" s="14"/>
      <c r="AN783" s="14"/>
      <c r="AO783" s="14"/>
      <c r="AP783" s="14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3"/>
      <c r="AF784" s="2"/>
      <c r="AG784" s="2"/>
      <c r="AH784" s="2"/>
      <c r="AI784" s="2"/>
      <c r="AM784" s="14"/>
      <c r="AN784" s="14"/>
      <c r="AO784" s="14"/>
      <c r="AP784" s="14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3"/>
      <c r="AF785" s="2"/>
      <c r="AG785" s="2"/>
      <c r="AH785" s="2"/>
      <c r="AI785" s="2"/>
      <c r="AM785" s="14"/>
      <c r="AN785" s="14"/>
      <c r="AO785" s="14"/>
      <c r="AP785" s="14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3"/>
      <c r="AF786" s="2"/>
      <c r="AG786" s="2"/>
      <c r="AH786" s="2"/>
      <c r="AI786" s="2"/>
      <c r="AM786" s="14"/>
      <c r="AN786" s="14"/>
      <c r="AO786" s="14"/>
      <c r="AP786" s="14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3"/>
      <c r="AF787" s="2"/>
      <c r="AG787" s="2"/>
      <c r="AH787" s="2"/>
      <c r="AI787" s="2"/>
      <c r="AM787" s="14"/>
      <c r="AN787" s="14"/>
      <c r="AO787" s="14"/>
      <c r="AP787" s="14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3"/>
      <c r="AF788" s="2"/>
      <c r="AG788" s="2"/>
      <c r="AH788" s="2"/>
      <c r="AI788" s="2"/>
      <c r="AM788" s="14"/>
      <c r="AN788" s="14"/>
      <c r="AO788" s="14"/>
      <c r="AP788" s="14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3"/>
      <c r="AF789" s="2"/>
      <c r="AG789" s="2"/>
      <c r="AH789" s="2"/>
      <c r="AI789" s="2"/>
      <c r="AM789" s="14"/>
      <c r="AN789" s="14"/>
      <c r="AO789" s="14"/>
      <c r="AP789" s="14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3"/>
      <c r="AF790" s="2"/>
      <c r="AG790" s="2"/>
      <c r="AH790" s="2"/>
      <c r="AI790" s="2"/>
      <c r="AM790" s="14"/>
      <c r="AN790" s="14"/>
      <c r="AO790" s="14"/>
      <c r="AP790" s="14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3"/>
      <c r="AF791" s="2"/>
      <c r="AG791" s="2"/>
      <c r="AH791" s="2"/>
      <c r="AI791" s="2"/>
      <c r="AM791" s="14"/>
      <c r="AN791" s="14"/>
      <c r="AO791" s="14"/>
      <c r="AP791" s="14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3"/>
      <c r="AF792" s="2"/>
      <c r="AG792" s="2"/>
      <c r="AH792" s="2"/>
      <c r="AI792" s="2"/>
      <c r="AM792" s="14"/>
      <c r="AN792" s="14"/>
      <c r="AO792" s="14"/>
      <c r="AP792" s="14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3"/>
      <c r="AF793" s="2"/>
      <c r="AG793" s="2"/>
      <c r="AH793" s="2"/>
      <c r="AI793" s="2"/>
      <c r="AM793" s="14"/>
      <c r="AN793" s="14"/>
      <c r="AO793" s="14"/>
      <c r="AP793" s="14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3"/>
      <c r="AF794" s="2"/>
      <c r="AG794" s="2"/>
      <c r="AH794" s="2"/>
      <c r="AI794" s="2"/>
      <c r="AM794" s="14"/>
      <c r="AN794" s="14"/>
      <c r="AO794" s="14"/>
      <c r="AP794" s="14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3"/>
      <c r="AF795" s="2"/>
      <c r="AG795" s="2"/>
      <c r="AH795" s="2"/>
      <c r="AI795" s="2"/>
      <c r="AM795" s="14"/>
      <c r="AN795" s="14"/>
      <c r="AO795" s="14"/>
      <c r="AP795" s="14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3"/>
      <c r="AF796" s="2"/>
      <c r="AG796" s="2"/>
      <c r="AH796" s="2"/>
      <c r="AI796" s="2"/>
      <c r="AM796" s="14"/>
      <c r="AN796" s="14"/>
      <c r="AO796" s="14"/>
      <c r="AP796" s="14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3"/>
      <c r="AF797" s="2"/>
      <c r="AG797" s="2"/>
      <c r="AH797" s="2"/>
      <c r="AI797" s="2"/>
      <c r="AM797" s="14"/>
      <c r="AN797" s="14"/>
      <c r="AO797" s="14"/>
      <c r="AP797" s="14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3"/>
      <c r="AF798" s="2"/>
      <c r="AG798" s="2"/>
      <c r="AH798" s="2"/>
      <c r="AI798" s="2"/>
      <c r="AM798" s="14"/>
      <c r="AN798" s="14"/>
      <c r="AO798" s="14"/>
      <c r="AP798" s="14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3"/>
      <c r="AF799" s="2"/>
      <c r="AG799" s="2"/>
      <c r="AH799" s="2"/>
      <c r="AI799" s="2"/>
      <c r="AM799" s="14"/>
      <c r="AN799" s="14"/>
      <c r="AO799" s="14"/>
      <c r="AP799" s="14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3"/>
      <c r="AF800" s="2"/>
      <c r="AG800" s="2"/>
      <c r="AH800" s="2"/>
      <c r="AI800" s="2"/>
      <c r="AM800" s="14"/>
      <c r="AN800" s="14"/>
      <c r="AO800" s="14"/>
      <c r="AP800" s="14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3"/>
      <c r="AF801" s="2"/>
      <c r="AG801" s="2"/>
      <c r="AH801" s="2"/>
      <c r="AI801" s="2"/>
      <c r="AM801" s="14"/>
      <c r="AN801" s="14"/>
      <c r="AO801" s="14"/>
      <c r="AP801" s="14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3"/>
      <c r="AF802" s="2"/>
      <c r="AG802" s="2"/>
      <c r="AH802" s="2"/>
      <c r="AI802" s="2"/>
      <c r="AM802" s="14"/>
      <c r="AN802" s="14"/>
      <c r="AO802" s="14"/>
      <c r="AP802" s="14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3"/>
      <c r="AF803" s="2"/>
      <c r="AG803" s="2"/>
      <c r="AH803" s="2"/>
      <c r="AI803" s="2"/>
      <c r="AM803" s="14"/>
      <c r="AN803" s="14"/>
      <c r="AO803" s="14"/>
      <c r="AP803" s="14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3"/>
      <c r="AF804" s="2"/>
      <c r="AG804" s="2"/>
      <c r="AH804" s="2"/>
      <c r="AI804" s="2"/>
      <c r="AM804" s="14"/>
      <c r="AN804" s="14"/>
      <c r="AO804" s="14"/>
      <c r="AP804" s="14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3"/>
      <c r="AF805" s="2"/>
      <c r="AG805" s="2"/>
      <c r="AH805" s="2"/>
      <c r="AI805" s="2"/>
      <c r="AM805" s="14"/>
      <c r="AN805" s="14"/>
      <c r="AO805" s="14"/>
      <c r="AP805" s="14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3"/>
      <c r="AF806" s="2"/>
      <c r="AG806" s="2"/>
      <c r="AH806" s="2"/>
      <c r="AI806" s="2"/>
      <c r="AM806" s="14"/>
      <c r="AN806" s="14"/>
      <c r="AO806" s="14"/>
      <c r="AP806" s="14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3"/>
      <c r="AF807" s="2"/>
      <c r="AG807" s="2"/>
      <c r="AH807" s="2"/>
      <c r="AI807" s="2"/>
      <c r="AM807" s="14"/>
      <c r="AN807" s="14"/>
      <c r="AO807" s="14"/>
      <c r="AP807" s="14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3"/>
      <c r="AF808" s="2"/>
      <c r="AG808" s="2"/>
      <c r="AH808" s="2"/>
      <c r="AI808" s="2"/>
      <c r="AM808" s="14"/>
      <c r="AN808" s="14"/>
      <c r="AO808" s="14"/>
      <c r="AP808" s="14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3"/>
      <c r="AF809" s="2"/>
      <c r="AG809" s="2"/>
      <c r="AH809" s="2"/>
      <c r="AI809" s="2"/>
      <c r="AM809" s="14"/>
      <c r="AN809" s="14"/>
      <c r="AO809" s="14"/>
      <c r="AP809" s="14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3"/>
      <c r="AF810" s="2"/>
      <c r="AG810" s="2"/>
      <c r="AH810" s="2"/>
      <c r="AI810" s="2"/>
      <c r="AM810" s="14"/>
      <c r="AN810" s="14"/>
      <c r="AO810" s="14"/>
      <c r="AP810" s="14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3"/>
      <c r="AF811" s="2"/>
      <c r="AG811" s="2"/>
      <c r="AH811" s="2"/>
      <c r="AI811" s="2"/>
      <c r="AM811" s="14"/>
      <c r="AN811" s="14"/>
      <c r="AO811" s="14"/>
      <c r="AP811" s="14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3"/>
      <c r="AF812" s="2"/>
      <c r="AG812" s="2"/>
      <c r="AH812" s="2"/>
      <c r="AI812" s="2"/>
      <c r="AM812" s="14"/>
      <c r="AN812" s="14"/>
      <c r="AO812" s="14"/>
      <c r="AP812" s="14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3"/>
      <c r="AF813" s="2"/>
      <c r="AG813" s="2"/>
      <c r="AH813" s="2"/>
      <c r="AI813" s="2"/>
      <c r="AM813" s="14"/>
      <c r="AN813" s="14"/>
      <c r="AO813" s="14"/>
      <c r="AP813" s="14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3"/>
      <c r="AF814" s="2"/>
      <c r="AG814" s="2"/>
      <c r="AH814" s="2"/>
      <c r="AI814" s="2"/>
      <c r="AM814" s="14"/>
      <c r="AN814" s="14"/>
      <c r="AO814" s="14"/>
      <c r="AP814" s="14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3"/>
      <c r="AF815" s="2"/>
      <c r="AG815" s="2"/>
      <c r="AH815" s="2"/>
      <c r="AI815" s="2"/>
      <c r="AM815" s="14"/>
      <c r="AN815" s="14"/>
      <c r="AO815" s="14"/>
      <c r="AP815" s="14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3"/>
      <c r="AF816" s="2"/>
      <c r="AG816" s="2"/>
      <c r="AH816" s="2"/>
      <c r="AI816" s="2"/>
      <c r="AM816" s="14"/>
      <c r="AN816" s="14"/>
      <c r="AO816" s="14"/>
      <c r="AP816" s="14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3"/>
      <c r="AF817" s="2"/>
      <c r="AG817" s="2"/>
      <c r="AH817" s="2"/>
      <c r="AI817" s="2"/>
      <c r="AM817" s="14"/>
      <c r="AN817" s="14"/>
      <c r="AO817" s="14"/>
      <c r="AP817" s="14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3"/>
      <c r="AF818" s="2"/>
      <c r="AG818" s="2"/>
      <c r="AH818" s="2"/>
      <c r="AI818" s="2"/>
      <c r="AM818" s="14"/>
      <c r="AN818" s="14"/>
      <c r="AO818" s="14"/>
      <c r="AP818" s="14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3"/>
      <c r="AF819" s="2"/>
      <c r="AG819" s="2"/>
      <c r="AH819" s="2"/>
      <c r="AI819" s="2"/>
      <c r="AM819" s="14"/>
      <c r="AN819" s="14"/>
      <c r="AO819" s="14"/>
      <c r="AP819" s="14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3"/>
      <c r="AF820" s="2"/>
      <c r="AG820" s="2"/>
      <c r="AH820" s="2"/>
      <c r="AI820" s="2"/>
      <c r="AM820" s="14"/>
      <c r="AN820" s="14"/>
      <c r="AO820" s="14"/>
      <c r="AP820" s="14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3"/>
      <c r="AF821" s="2"/>
      <c r="AG821" s="2"/>
      <c r="AH821" s="2"/>
      <c r="AI821" s="2"/>
      <c r="AM821" s="14"/>
      <c r="AN821" s="14"/>
      <c r="AO821" s="14"/>
      <c r="AP821" s="14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3"/>
      <c r="AF822" s="2"/>
      <c r="AG822" s="2"/>
      <c r="AH822" s="2"/>
      <c r="AI822" s="2"/>
      <c r="AM822" s="14"/>
      <c r="AN822" s="14"/>
      <c r="AO822" s="14"/>
      <c r="AP822" s="14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3"/>
      <c r="AF823" s="2"/>
      <c r="AG823" s="2"/>
      <c r="AH823" s="2"/>
      <c r="AI823" s="2"/>
      <c r="AM823" s="14"/>
      <c r="AN823" s="14"/>
      <c r="AO823" s="14"/>
      <c r="AP823" s="14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3"/>
      <c r="AF824" s="2"/>
      <c r="AG824" s="2"/>
      <c r="AH824" s="2"/>
      <c r="AI824" s="2"/>
      <c r="AM824" s="14"/>
      <c r="AN824" s="14"/>
      <c r="AO824" s="14"/>
      <c r="AP824" s="14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3"/>
      <c r="AF825" s="2"/>
      <c r="AG825" s="2"/>
      <c r="AH825" s="2"/>
      <c r="AI825" s="2"/>
      <c r="AM825" s="14"/>
      <c r="AN825" s="14"/>
      <c r="AO825" s="14"/>
      <c r="AP825" s="14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3"/>
      <c r="AF826" s="2"/>
      <c r="AG826" s="2"/>
      <c r="AH826" s="2"/>
      <c r="AI826" s="2"/>
      <c r="AM826" s="14"/>
      <c r="AN826" s="14"/>
      <c r="AO826" s="14"/>
      <c r="AP826" s="14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3"/>
      <c r="AF827" s="2"/>
      <c r="AG827" s="2"/>
      <c r="AH827" s="2"/>
      <c r="AI827" s="2"/>
      <c r="AM827" s="14"/>
      <c r="AN827" s="14"/>
      <c r="AO827" s="14"/>
      <c r="AP827" s="14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3"/>
      <c r="AF828" s="2"/>
      <c r="AG828" s="2"/>
      <c r="AH828" s="2"/>
      <c r="AI828" s="2"/>
      <c r="AM828" s="14"/>
      <c r="AN828" s="14"/>
      <c r="AO828" s="14"/>
      <c r="AP828" s="14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3"/>
      <c r="AF829" s="2"/>
      <c r="AG829" s="2"/>
      <c r="AH829" s="2"/>
      <c r="AI829" s="2"/>
      <c r="AM829" s="14"/>
      <c r="AN829" s="14"/>
      <c r="AO829" s="14"/>
      <c r="AP829" s="14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3"/>
      <c r="AF830" s="2"/>
      <c r="AG830" s="2"/>
      <c r="AH830" s="2"/>
      <c r="AI830" s="2"/>
      <c r="AM830" s="14"/>
      <c r="AN830" s="14"/>
      <c r="AO830" s="14"/>
      <c r="AP830" s="14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3"/>
      <c r="AF831" s="2"/>
      <c r="AG831" s="2"/>
      <c r="AH831" s="2"/>
      <c r="AI831" s="2"/>
      <c r="AM831" s="14"/>
      <c r="AN831" s="14"/>
      <c r="AO831" s="14"/>
      <c r="AP831" s="14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3"/>
      <c r="AF832" s="2"/>
      <c r="AG832" s="2"/>
      <c r="AH832" s="2"/>
      <c r="AI832" s="2"/>
      <c r="AM832" s="14"/>
      <c r="AN832" s="14"/>
      <c r="AO832" s="14"/>
      <c r="AP832" s="14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3"/>
      <c r="AF833" s="2"/>
      <c r="AG833" s="2"/>
      <c r="AH833" s="2"/>
      <c r="AI833" s="2"/>
      <c r="AM833" s="14"/>
      <c r="AN833" s="14"/>
      <c r="AO833" s="14"/>
      <c r="AP833" s="14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3"/>
      <c r="AF834" s="2"/>
      <c r="AG834" s="2"/>
      <c r="AH834" s="2"/>
      <c r="AI834" s="2"/>
      <c r="AM834" s="14"/>
      <c r="AN834" s="14"/>
      <c r="AO834" s="14"/>
      <c r="AP834" s="14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3"/>
      <c r="AF835" s="2"/>
      <c r="AG835" s="2"/>
      <c r="AH835" s="2"/>
      <c r="AI835" s="2"/>
      <c r="AM835" s="14"/>
      <c r="AN835" s="14"/>
      <c r="AO835" s="14"/>
      <c r="AP835" s="14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3"/>
      <c r="AF836" s="2"/>
      <c r="AG836" s="2"/>
      <c r="AH836" s="2"/>
      <c r="AI836" s="2"/>
      <c r="AM836" s="14"/>
      <c r="AN836" s="14"/>
      <c r="AO836" s="14"/>
      <c r="AP836" s="14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3"/>
      <c r="AF837" s="2"/>
      <c r="AG837" s="2"/>
      <c r="AH837" s="2"/>
      <c r="AI837" s="2"/>
      <c r="AM837" s="14"/>
      <c r="AN837" s="14"/>
      <c r="AO837" s="14"/>
      <c r="AP837" s="14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3"/>
      <c r="AF838" s="2"/>
      <c r="AG838" s="2"/>
      <c r="AH838" s="2"/>
      <c r="AI838" s="2"/>
      <c r="AM838" s="14"/>
      <c r="AN838" s="14"/>
      <c r="AO838" s="14"/>
      <c r="AP838" s="14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3"/>
      <c r="AF839" s="2"/>
      <c r="AG839" s="2"/>
      <c r="AH839" s="2"/>
      <c r="AI839" s="2"/>
      <c r="AM839" s="14"/>
      <c r="AN839" s="14"/>
      <c r="AO839" s="14"/>
      <c r="AP839" s="14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3"/>
      <c r="AF840" s="2"/>
      <c r="AG840" s="2"/>
      <c r="AH840" s="2"/>
      <c r="AI840" s="2"/>
      <c r="AM840" s="14"/>
      <c r="AN840" s="14"/>
      <c r="AO840" s="14"/>
      <c r="AP840" s="14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3"/>
      <c r="AF841" s="2"/>
      <c r="AG841" s="2"/>
      <c r="AH841" s="2"/>
      <c r="AI841" s="2"/>
      <c r="AM841" s="14"/>
      <c r="AN841" s="14"/>
      <c r="AO841" s="14"/>
      <c r="AP841" s="14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3"/>
      <c r="AF842" s="2"/>
      <c r="AG842" s="2"/>
      <c r="AH842" s="2"/>
      <c r="AI842" s="2"/>
      <c r="AM842" s="14"/>
      <c r="AN842" s="14"/>
      <c r="AO842" s="14"/>
      <c r="AP842" s="14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3"/>
      <c r="AF843" s="2"/>
      <c r="AG843" s="2"/>
      <c r="AH843" s="2"/>
      <c r="AI843" s="2"/>
      <c r="AM843" s="14"/>
      <c r="AN843" s="14"/>
      <c r="AO843" s="14"/>
      <c r="AP843" s="14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3"/>
      <c r="AF844" s="2"/>
      <c r="AG844" s="2"/>
      <c r="AH844" s="2"/>
      <c r="AI844" s="2"/>
      <c r="AM844" s="14"/>
      <c r="AN844" s="14"/>
      <c r="AO844" s="14"/>
      <c r="AP844" s="14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3"/>
      <c r="AF845" s="2"/>
      <c r="AG845" s="2"/>
      <c r="AH845" s="2"/>
      <c r="AI845" s="2"/>
      <c r="AM845" s="14"/>
      <c r="AN845" s="14"/>
      <c r="AO845" s="14"/>
      <c r="AP845" s="14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3"/>
      <c r="AF846" s="2"/>
      <c r="AG846" s="2"/>
      <c r="AH846" s="2"/>
      <c r="AI846" s="2"/>
      <c r="AM846" s="14"/>
      <c r="AN846" s="14"/>
      <c r="AO846" s="14"/>
      <c r="AP846" s="14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3"/>
      <c r="AF847" s="2"/>
      <c r="AG847" s="2"/>
      <c r="AH847" s="2"/>
      <c r="AI847" s="2"/>
      <c r="AM847" s="14"/>
      <c r="AN847" s="14"/>
      <c r="AO847" s="14"/>
      <c r="AP847" s="14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3"/>
      <c r="AF848" s="2"/>
      <c r="AG848" s="2"/>
      <c r="AH848" s="2"/>
      <c r="AI848" s="2"/>
      <c r="AM848" s="14"/>
      <c r="AN848" s="14"/>
      <c r="AO848" s="14"/>
      <c r="AP848" s="14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3"/>
      <c r="AF849" s="2"/>
      <c r="AG849" s="2"/>
      <c r="AH849" s="2"/>
      <c r="AI849" s="2"/>
      <c r="AM849" s="14"/>
      <c r="AN849" s="14"/>
      <c r="AO849" s="14"/>
      <c r="AP849" s="14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3"/>
      <c r="AF850" s="2"/>
      <c r="AG850" s="2"/>
      <c r="AH850" s="2"/>
      <c r="AI850" s="2"/>
      <c r="AM850" s="14"/>
      <c r="AN850" s="14"/>
      <c r="AO850" s="14"/>
      <c r="AP850" s="14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3"/>
      <c r="AF851" s="2"/>
      <c r="AG851" s="2"/>
      <c r="AH851" s="2"/>
      <c r="AI851" s="2"/>
      <c r="AM851" s="14"/>
      <c r="AN851" s="14"/>
      <c r="AO851" s="14"/>
      <c r="AP851" s="14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3"/>
      <c r="AF852" s="2"/>
      <c r="AG852" s="2"/>
      <c r="AH852" s="2"/>
      <c r="AI852" s="2"/>
      <c r="AM852" s="14"/>
      <c r="AN852" s="14"/>
      <c r="AO852" s="14"/>
      <c r="AP852" s="14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3"/>
      <c r="AF853" s="2"/>
      <c r="AG853" s="2"/>
      <c r="AH853" s="2"/>
      <c r="AI853" s="2"/>
      <c r="AM853" s="14"/>
      <c r="AN853" s="14"/>
      <c r="AO853" s="14"/>
      <c r="AP853" s="14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3"/>
      <c r="AF854" s="2"/>
      <c r="AG854" s="2"/>
      <c r="AH854" s="2"/>
      <c r="AI854" s="2"/>
      <c r="AM854" s="14"/>
      <c r="AN854" s="14"/>
      <c r="AO854" s="14"/>
      <c r="AP854" s="14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3"/>
      <c r="AF855" s="2"/>
      <c r="AG855" s="2"/>
      <c r="AH855" s="2"/>
      <c r="AI855" s="2"/>
      <c r="AM855" s="14"/>
      <c r="AN855" s="14"/>
      <c r="AO855" s="14"/>
      <c r="AP855" s="14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3"/>
      <c r="AF856" s="2"/>
      <c r="AG856" s="2"/>
      <c r="AH856" s="2"/>
      <c r="AI856" s="2"/>
      <c r="AM856" s="14"/>
      <c r="AN856" s="14"/>
      <c r="AO856" s="14"/>
      <c r="AP856" s="14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3"/>
      <c r="AF857" s="2"/>
      <c r="AG857" s="2"/>
      <c r="AH857" s="2"/>
      <c r="AI857" s="2"/>
      <c r="AM857" s="14"/>
      <c r="AN857" s="14"/>
      <c r="AO857" s="14"/>
      <c r="AP857" s="14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3"/>
      <c r="AF858" s="2"/>
      <c r="AG858" s="2"/>
      <c r="AH858" s="2"/>
      <c r="AI858" s="2"/>
      <c r="AM858" s="14"/>
      <c r="AN858" s="14"/>
      <c r="AO858" s="14"/>
      <c r="AP858" s="14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3"/>
      <c r="AF859" s="2"/>
      <c r="AG859" s="2"/>
      <c r="AH859" s="2"/>
      <c r="AI859" s="2"/>
      <c r="AM859" s="14"/>
      <c r="AN859" s="14"/>
      <c r="AO859" s="14"/>
      <c r="AP859" s="14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3"/>
      <c r="AF860" s="2"/>
      <c r="AG860" s="2"/>
      <c r="AH860" s="2"/>
      <c r="AI860" s="2"/>
      <c r="AM860" s="14"/>
      <c r="AN860" s="14"/>
      <c r="AO860" s="14"/>
      <c r="AP860" s="14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3"/>
      <c r="AF861" s="2"/>
      <c r="AG861" s="2"/>
      <c r="AH861" s="2"/>
      <c r="AI861" s="2"/>
      <c r="AM861" s="14"/>
      <c r="AN861" s="14"/>
      <c r="AO861" s="14"/>
      <c r="AP861" s="14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3"/>
      <c r="AF862" s="2"/>
      <c r="AG862" s="2"/>
      <c r="AH862" s="2"/>
      <c r="AI862" s="2"/>
      <c r="AM862" s="14"/>
      <c r="AN862" s="14"/>
      <c r="AO862" s="14"/>
      <c r="AP862" s="14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3"/>
      <c r="AF863" s="2"/>
      <c r="AG863" s="2"/>
      <c r="AH863" s="2"/>
      <c r="AI863" s="2"/>
      <c r="AM863" s="14"/>
      <c r="AN863" s="14"/>
      <c r="AO863" s="14"/>
      <c r="AP863" s="14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3"/>
      <c r="AF864" s="2"/>
      <c r="AG864" s="2"/>
      <c r="AH864" s="2"/>
      <c r="AI864" s="2"/>
      <c r="AM864" s="14"/>
      <c r="AN864" s="14"/>
      <c r="AO864" s="14"/>
      <c r="AP864" s="14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3"/>
      <c r="AF865" s="2"/>
      <c r="AG865" s="2"/>
      <c r="AH865" s="2"/>
      <c r="AI865" s="2"/>
      <c r="AM865" s="14"/>
      <c r="AN865" s="14"/>
      <c r="AO865" s="14"/>
      <c r="AP865" s="14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3"/>
      <c r="AF866" s="2"/>
      <c r="AG866" s="2"/>
      <c r="AH866" s="2"/>
      <c r="AI866" s="2"/>
      <c r="AM866" s="14"/>
      <c r="AN866" s="14"/>
      <c r="AO866" s="14"/>
      <c r="AP866" s="14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3"/>
      <c r="AF867" s="2"/>
      <c r="AG867" s="2"/>
      <c r="AH867" s="2"/>
      <c r="AI867" s="2"/>
      <c r="AM867" s="14"/>
      <c r="AN867" s="14"/>
      <c r="AO867" s="14"/>
      <c r="AP867" s="14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3"/>
      <c r="AF868" s="2"/>
      <c r="AG868" s="2"/>
      <c r="AH868" s="2"/>
      <c r="AI868" s="2"/>
      <c r="AM868" s="14"/>
      <c r="AN868" s="14"/>
      <c r="AO868" s="14"/>
      <c r="AP868" s="14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3"/>
      <c r="AF869" s="2"/>
      <c r="AG869" s="2"/>
      <c r="AH869" s="2"/>
      <c r="AI869" s="2"/>
      <c r="AM869" s="14"/>
      <c r="AN869" s="14"/>
      <c r="AO869" s="14"/>
      <c r="AP869" s="14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3"/>
      <c r="AF870" s="2"/>
      <c r="AG870" s="2"/>
      <c r="AH870" s="2"/>
      <c r="AI870" s="2"/>
      <c r="AM870" s="14"/>
      <c r="AN870" s="14"/>
      <c r="AO870" s="14"/>
      <c r="AP870" s="14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3"/>
      <c r="AF871" s="2"/>
      <c r="AG871" s="2"/>
      <c r="AH871" s="2"/>
      <c r="AI871" s="2"/>
      <c r="AM871" s="14"/>
      <c r="AN871" s="14"/>
      <c r="AO871" s="14"/>
      <c r="AP871" s="14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3"/>
      <c r="AF872" s="2"/>
      <c r="AG872" s="2"/>
      <c r="AH872" s="2"/>
      <c r="AI872" s="2"/>
      <c r="AM872" s="14"/>
      <c r="AN872" s="14"/>
      <c r="AO872" s="14"/>
      <c r="AP872" s="14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3"/>
      <c r="AF873" s="2"/>
      <c r="AG873" s="2"/>
      <c r="AH873" s="2"/>
      <c r="AI873" s="2"/>
      <c r="AM873" s="14"/>
      <c r="AN873" s="14"/>
      <c r="AO873" s="14"/>
      <c r="AP873" s="14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3"/>
      <c r="AF874" s="2"/>
      <c r="AG874" s="2"/>
      <c r="AH874" s="2"/>
      <c r="AI874" s="2"/>
      <c r="AM874" s="14"/>
      <c r="AN874" s="14"/>
      <c r="AO874" s="14"/>
      <c r="AP874" s="14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3"/>
      <c r="AF875" s="2"/>
      <c r="AG875" s="2"/>
      <c r="AH875" s="2"/>
      <c r="AI875" s="2"/>
      <c r="AM875" s="14"/>
      <c r="AN875" s="14"/>
      <c r="AO875" s="14"/>
      <c r="AP875" s="14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3"/>
      <c r="AF876" s="2"/>
      <c r="AG876" s="2"/>
      <c r="AH876" s="2"/>
      <c r="AI876" s="2"/>
      <c r="AM876" s="14"/>
      <c r="AN876" s="14"/>
      <c r="AO876" s="14"/>
      <c r="AP876" s="14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3"/>
      <c r="AF877" s="2"/>
      <c r="AG877" s="2"/>
      <c r="AH877" s="2"/>
      <c r="AI877" s="2"/>
      <c r="AM877" s="14"/>
      <c r="AN877" s="14"/>
      <c r="AO877" s="14"/>
      <c r="AP877" s="14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3"/>
      <c r="AF878" s="2"/>
      <c r="AG878" s="2"/>
      <c r="AH878" s="2"/>
      <c r="AI878" s="2"/>
      <c r="AM878" s="14"/>
      <c r="AN878" s="14"/>
      <c r="AO878" s="14"/>
      <c r="AP878" s="14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3"/>
      <c r="AF879" s="2"/>
      <c r="AG879" s="2"/>
      <c r="AH879" s="2"/>
      <c r="AI879" s="2"/>
      <c r="AM879" s="14"/>
      <c r="AN879" s="14"/>
      <c r="AO879" s="14"/>
      <c r="AP879" s="14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3"/>
      <c r="AF880" s="2"/>
      <c r="AG880" s="2"/>
      <c r="AH880" s="2"/>
      <c r="AI880" s="2"/>
      <c r="AM880" s="14"/>
      <c r="AN880" s="14"/>
      <c r="AO880" s="14"/>
      <c r="AP880" s="14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3"/>
      <c r="AF881" s="2"/>
      <c r="AG881" s="2"/>
      <c r="AH881" s="2"/>
      <c r="AI881" s="2"/>
      <c r="AM881" s="14"/>
      <c r="AN881" s="14"/>
      <c r="AO881" s="14"/>
      <c r="AP881" s="14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3"/>
      <c r="AF882" s="2"/>
      <c r="AG882" s="2"/>
      <c r="AH882" s="2"/>
      <c r="AI882" s="2"/>
      <c r="AM882" s="14"/>
      <c r="AN882" s="14"/>
      <c r="AO882" s="14"/>
      <c r="AP882" s="14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3"/>
      <c r="AF883" s="2"/>
      <c r="AG883" s="2"/>
      <c r="AH883" s="2"/>
      <c r="AI883" s="2"/>
      <c r="AM883" s="14"/>
      <c r="AN883" s="14"/>
      <c r="AO883" s="14"/>
      <c r="AP883" s="14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3"/>
      <c r="AF884" s="2"/>
      <c r="AG884" s="2"/>
      <c r="AH884" s="2"/>
      <c r="AI884" s="2"/>
      <c r="AM884" s="14"/>
      <c r="AN884" s="14"/>
      <c r="AO884" s="14"/>
      <c r="AP884" s="14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3"/>
      <c r="AF885" s="2"/>
      <c r="AG885" s="2"/>
      <c r="AH885" s="2"/>
      <c r="AI885" s="2"/>
      <c r="AM885" s="14"/>
      <c r="AN885" s="14"/>
      <c r="AO885" s="14"/>
      <c r="AP885" s="14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3"/>
      <c r="AF886" s="2"/>
      <c r="AG886" s="2"/>
      <c r="AH886" s="2"/>
      <c r="AI886" s="2"/>
      <c r="AM886" s="14"/>
      <c r="AN886" s="14"/>
      <c r="AO886" s="14"/>
      <c r="AP886" s="14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3"/>
      <c r="AF887" s="2"/>
      <c r="AG887" s="2"/>
      <c r="AH887" s="2"/>
      <c r="AI887" s="2"/>
      <c r="AM887" s="14"/>
      <c r="AN887" s="14"/>
      <c r="AO887" s="14"/>
      <c r="AP887" s="14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3"/>
      <c r="AF888" s="2"/>
      <c r="AG888" s="2"/>
      <c r="AH888" s="2"/>
      <c r="AI888" s="2"/>
      <c r="AM888" s="14"/>
      <c r="AN888" s="14"/>
      <c r="AO888" s="14"/>
      <c r="AP888" s="14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3"/>
      <c r="AF889" s="2"/>
      <c r="AG889" s="2"/>
      <c r="AH889" s="2"/>
      <c r="AI889" s="2"/>
      <c r="AM889" s="14"/>
      <c r="AN889" s="14"/>
      <c r="AO889" s="14"/>
      <c r="AP889" s="14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3"/>
      <c r="AF890" s="2"/>
      <c r="AG890" s="2"/>
      <c r="AH890" s="2"/>
      <c r="AI890" s="2"/>
      <c r="AM890" s="14"/>
      <c r="AN890" s="14"/>
      <c r="AO890" s="14"/>
      <c r="AP890" s="14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3"/>
      <c r="AF891" s="2"/>
      <c r="AG891" s="2"/>
      <c r="AH891" s="2"/>
      <c r="AI891" s="2"/>
      <c r="AM891" s="14"/>
      <c r="AN891" s="14"/>
      <c r="AO891" s="14"/>
      <c r="AP891" s="14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3"/>
      <c r="AF892" s="2"/>
      <c r="AG892" s="2"/>
      <c r="AH892" s="2"/>
      <c r="AI892" s="2"/>
      <c r="AM892" s="14"/>
      <c r="AN892" s="14"/>
      <c r="AO892" s="14"/>
      <c r="AP892" s="14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3"/>
      <c r="AF893" s="2"/>
      <c r="AG893" s="2"/>
      <c r="AH893" s="2"/>
      <c r="AI893" s="2"/>
      <c r="AM893" s="14"/>
      <c r="AN893" s="14"/>
      <c r="AO893" s="14"/>
      <c r="AP893" s="14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3"/>
      <c r="AF894" s="2"/>
      <c r="AG894" s="2"/>
      <c r="AH894" s="2"/>
      <c r="AI894" s="2"/>
      <c r="AM894" s="14"/>
      <c r="AN894" s="14"/>
      <c r="AO894" s="14"/>
      <c r="AP894" s="14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3"/>
      <c r="AF895" s="2"/>
      <c r="AG895" s="2"/>
      <c r="AH895" s="2"/>
      <c r="AI895" s="2"/>
      <c r="AM895" s="14"/>
      <c r="AN895" s="14"/>
      <c r="AO895" s="14"/>
      <c r="AP895" s="14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3"/>
      <c r="AF896" s="2"/>
      <c r="AG896" s="2"/>
      <c r="AH896" s="2"/>
      <c r="AI896" s="2"/>
      <c r="AM896" s="14"/>
      <c r="AN896" s="14"/>
      <c r="AO896" s="14"/>
      <c r="AP896" s="14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3"/>
      <c r="AF897" s="2"/>
      <c r="AG897" s="2"/>
      <c r="AH897" s="2"/>
      <c r="AI897" s="2"/>
      <c r="AM897" s="14"/>
      <c r="AN897" s="14"/>
      <c r="AO897" s="14"/>
      <c r="AP897" s="14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3"/>
      <c r="AF898" s="2"/>
      <c r="AG898" s="2"/>
      <c r="AH898" s="2"/>
      <c r="AI898" s="2"/>
      <c r="AM898" s="14"/>
      <c r="AN898" s="14"/>
      <c r="AO898" s="14"/>
      <c r="AP898" s="14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3"/>
      <c r="AF899" s="2"/>
      <c r="AG899" s="2"/>
      <c r="AH899" s="2"/>
      <c r="AI899" s="2"/>
      <c r="AM899" s="14"/>
      <c r="AN899" s="14"/>
      <c r="AO899" s="14"/>
      <c r="AP899" s="14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3"/>
      <c r="AF900" s="2"/>
      <c r="AG900" s="2"/>
      <c r="AH900" s="2"/>
      <c r="AI900" s="2"/>
      <c r="AM900" s="14"/>
      <c r="AN900" s="14"/>
      <c r="AO900" s="14"/>
      <c r="AP900" s="14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3"/>
      <c r="AF901" s="2"/>
      <c r="AG901" s="2"/>
      <c r="AH901" s="2"/>
      <c r="AI901" s="2"/>
      <c r="AM901" s="14"/>
      <c r="AN901" s="14"/>
      <c r="AO901" s="14"/>
      <c r="AP901" s="14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3"/>
      <c r="AF902" s="2"/>
      <c r="AG902" s="2"/>
      <c r="AH902" s="2"/>
      <c r="AI902" s="2"/>
      <c r="AM902" s="14"/>
      <c r="AN902" s="14"/>
      <c r="AO902" s="14"/>
      <c r="AP902" s="14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3"/>
      <c r="AF903" s="2"/>
      <c r="AG903" s="2"/>
      <c r="AH903" s="2"/>
      <c r="AI903" s="2"/>
      <c r="AM903" s="14"/>
      <c r="AN903" s="14"/>
      <c r="AO903" s="14"/>
      <c r="AP903" s="14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3"/>
      <c r="AF904" s="2"/>
      <c r="AG904" s="2"/>
      <c r="AH904" s="2"/>
      <c r="AI904" s="2"/>
      <c r="AM904" s="14"/>
      <c r="AN904" s="14"/>
      <c r="AO904" s="14"/>
      <c r="AP904" s="14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3"/>
      <c r="AF905" s="2"/>
      <c r="AG905" s="2"/>
      <c r="AH905" s="2"/>
      <c r="AI905" s="2"/>
      <c r="AM905" s="14"/>
      <c r="AN905" s="14"/>
      <c r="AO905" s="14"/>
      <c r="AP905" s="14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3"/>
      <c r="AF906" s="2"/>
      <c r="AG906" s="2"/>
      <c r="AH906" s="2"/>
      <c r="AI906" s="2"/>
      <c r="AM906" s="14"/>
      <c r="AN906" s="14"/>
      <c r="AO906" s="14"/>
      <c r="AP906" s="14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3"/>
      <c r="AF907" s="2"/>
      <c r="AG907" s="2"/>
      <c r="AH907" s="2"/>
      <c r="AI907" s="2"/>
      <c r="AM907" s="14"/>
      <c r="AN907" s="14"/>
      <c r="AO907" s="14"/>
      <c r="AP907" s="14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3"/>
      <c r="AF908" s="2"/>
      <c r="AG908" s="2"/>
      <c r="AH908" s="2"/>
      <c r="AI908" s="2"/>
      <c r="AM908" s="14"/>
      <c r="AN908" s="14"/>
      <c r="AO908" s="14"/>
      <c r="AP908" s="14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3"/>
      <c r="AF909" s="2"/>
      <c r="AG909" s="2"/>
      <c r="AH909" s="2"/>
      <c r="AI909" s="2"/>
      <c r="AM909" s="14"/>
      <c r="AN909" s="14"/>
      <c r="AO909" s="14"/>
      <c r="AP909" s="14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3"/>
      <c r="AF910" s="2"/>
      <c r="AG910" s="2"/>
      <c r="AH910" s="2"/>
      <c r="AI910" s="2"/>
      <c r="AM910" s="14"/>
      <c r="AN910" s="14"/>
      <c r="AO910" s="14"/>
      <c r="AP910" s="14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3"/>
      <c r="AF911" s="2"/>
      <c r="AG911" s="2"/>
      <c r="AH911" s="2"/>
      <c r="AI911" s="2"/>
      <c r="AM911" s="14"/>
      <c r="AN911" s="14"/>
      <c r="AO911" s="14"/>
      <c r="AP911" s="14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3"/>
      <c r="AF912" s="2"/>
      <c r="AG912" s="2"/>
      <c r="AH912" s="2"/>
      <c r="AI912" s="2"/>
      <c r="AM912" s="14"/>
      <c r="AN912" s="14"/>
      <c r="AO912" s="14"/>
      <c r="AP912" s="14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3"/>
      <c r="AF913" s="2"/>
      <c r="AG913" s="2"/>
      <c r="AH913" s="2"/>
      <c r="AI913" s="2"/>
      <c r="AM913" s="14"/>
      <c r="AN913" s="14"/>
      <c r="AO913" s="14"/>
      <c r="AP913" s="14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3"/>
      <c r="AF914" s="2"/>
      <c r="AG914" s="2"/>
      <c r="AH914" s="2"/>
      <c r="AI914" s="2"/>
      <c r="AM914" s="14"/>
      <c r="AN914" s="14"/>
      <c r="AO914" s="14"/>
      <c r="AP914" s="14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3"/>
      <c r="AF915" s="2"/>
      <c r="AG915" s="2"/>
      <c r="AH915" s="2"/>
      <c r="AI915" s="2"/>
      <c r="AM915" s="14"/>
      <c r="AN915" s="14"/>
      <c r="AO915" s="14"/>
      <c r="AP915" s="14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3"/>
      <c r="AF916" s="2"/>
      <c r="AG916" s="2"/>
      <c r="AH916" s="2"/>
      <c r="AI916" s="2"/>
      <c r="AM916" s="14"/>
      <c r="AN916" s="14"/>
      <c r="AO916" s="14"/>
      <c r="AP916" s="14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3"/>
      <c r="AF917" s="2"/>
      <c r="AG917" s="2"/>
      <c r="AH917" s="2"/>
      <c r="AI917" s="2"/>
      <c r="AM917" s="14"/>
      <c r="AN917" s="14"/>
      <c r="AO917" s="14"/>
      <c r="AP917" s="14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3"/>
      <c r="AF918" s="2"/>
      <c r="AG918" s="2"/>
      <c r="AH918" s="2"/>
      <c r="AI918" s="2"/>
      <c r="AM918" s="14"/>
      <c r="AN918" s="14"/>
      <c r="AO918" s="14"/>
      <c r="AP918" s="14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3"/>
      <c r="AF919" s="2"/>
      <c r="AG919" s="2"/>
      <c r="AH919" s="2"/>
      <c r="AI919" s="2"/>
      <c r="AM919" s="14"/>
      <c r="AN919" s="14"/>
      <c r="AO919" s="14"/>
      <c r="AP919" s="14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3"/>
      <c r="AF920" s="2"/>
      <c r="AG920" s="2"/>
      <c r="AH920" s="2"/>
      <c r="AI920" s="2"/>
      <c r="AM920" s="14"/>
      <c r="AN920" s="14"/>
      <c r="AO920" s="14"/>
      <c r="AP920" s="14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3"/>
      <c r="AF921" s="2"/>
      <c r="AG921" s="2"/>
      <c r="AH921" s="2"/>
      <c r="AI921" s="2"/>
      <c r="AM921" s="14"/>
      <c r="AN921" s="14"/>
      <c r="AO921" s="14"/>
      <c r="AP921" s="14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3"/>
      <c r="AF922" s="2"/>
      <c r="AG922" s="2"/>
      <c r="AH922" s="2"/>
      <c r="AI922" s="2"/>
      <c r="AM922" s="14"/>
      <c r="AN922" s="14"/>
      <c r="AO922" s="14"/>
      <c r="AP922" s="14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3"/>
      <c r="AF923" s="2"/>
      <c r="AG923" s="2"/>
      <c r="AH923" s="2"/>
      <c r="AI923" s="2"/>
      <c r="AM923" s="14"/>
      <c r="AN923" s="14"/>
      <c r="AO923" s="14"/>
      <c r="AP923" s="14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3"/>
      <c r="AF924" s="2"/>
      <c r="AG924" s="2"/>
      <c r="AH924" s="2"/>
      <c r="AI924" s="2"/>
      <c r="AM924" s="14"/>
      <c r="AN924" s="14"/>
      <c r="AO924" s="14"/>
      <c r="AP924" s="14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3"/>
      <c r="AF925" s="2"/>
      <c r="AG925" s="2"/>
      <c r="AH925" s="2"/>
      <c r="AI925" s="2"/>
      <c r="AM925" s="14"/>
      <c r="AN925" s="14"/>
      <c r="AO925" s="14"/>
      <c r="AP925" s="14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3"/>
      <c r="AF926" s="2"/>
      <c r="AG926" s="2"/>
      <c r="AH926" s="2"/>
      <c r="AI926" s="2"/>
      <c r="AM926" s="14"/>
      <c r="AN926" s="14"/>
      <c r="AO926" s="14"/>
      <c r="AP926" s="14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3"/>
      <c r="AF927" s="2"/>
      <c r="AG927" s="2"/>
      <c r="AH927" s="2"/>
      <c r="AI927" s="2"/>
      <c r="AM927" s="14"/>
      <c r="AN927" s="14"/>
      <c r="AO927" s="14"/>
      <c r="AP927" s="14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3"/>
      <c r="AF928" s="2"/>
      <c r="AG928" s="2"/>
      <c r="AH928" s="2"/>
      <c r="AI928" s="2"/>
      <c r="AM928" s="14"/>
      <c r="AN928" s="14"/>
      <c r="AO928" s="14"/>
      <c r="AP928" s="14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3"/>
      <c r="AF929" s="2"/>
      <c r="AG929" s="2"/>
      <c r="AH929" s="2"/>
      <c r="AI929" s="2"/>
      <c r="AM929" s="14"/>
      <c r="AN929" s="14"/>
      <c r="AO929" s="14"/>
      <c r="AP929" s="14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3"/>
      <c r="AF930" s="2"/>
      <c r="AG930" s="2"/>
      <c r="AH930" s="2"/>
      <c r="AI930" s="2"/>
      <c r="AM930" s="14"/>
      <c r="AN930" s="14"/>
      <c r="AO930" s="14"/>
      <c r="AP930" s="14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3"/>
      <c r="AF931" s="2"/>
      <c r="AG931" s="2"/>
      <c r="AH931" s="2"/>
      <c r="AI931" s="2"/>
      <c r="AM931" s="14"/>
      <c r="AN931" s="14"/>
      <c r="AO931" s="14"/>
      <c r="AP931" s="14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3"/>
      <c r="AF932" s="2"/>
      <c r="AG932" s="2"/>
      <c r="AH932" s="2"/>
      <c r="AI932" s="2"/>
      <c r="AM932" s="14"/>
      <c r="AN932" s="14"/>
      <c r="AO932" s="14"/>
      <c r="AP932" s="14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3"/>
      <c r="AF933" s="2"/>
      <c r="AG933" s="2"/>
      <c r="AH933" s="2"/>
      <c r="AI933" s="2"/>
      <c r="AM933" s="14"/>
      <c r="AN933" s="14"/>
      <c r="AO933" s="14"/>
      <c r="AP933" s="14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3"/>
      <c r="AF934" s="2"/>
      <c r="AG934" s="2"/>
      <c r="AH934" s="2"/>
      <c r="AI934" s="2"/>
      <c r="AM934" s="14"/>
      <c r="AN934" s="14"/>
      <c r="AO934" s="14"/>
      <c r="AP934" s="14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3"/>
      <c r="AF935" s="2"/>
      <c r="AG935" s="2"/>
      <c r="AH935" s="2"/>
      <c r="AI935" s="2"/>
      <c r="AM935" s="14"/>
      <c r="AN935" s="14"/>
      <c r="AO935" s="14"/>
      <c r="AP935" s="14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3"/>
      <c r="AF936" s="2"/>
      <c r="AG936" s="2"/>
      <c r="AH936" s="2"/>
      <c r="AI936" s="2"/>
      <c r="AM936" s="14"/>
      <c r="AN936" s="14"/>
      <c r="AO936" s="14"/>
      <c r="AP936" s="14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3"/>
      <c r="AF937" s="2"/>
      <c r="AG937" s="2"/>
      <c r="AH937" s="2"/>
      <c r="AI937" s="2"/>
      <c r="AM937" s="14"/>
      <c r="AN937" s="14"/>
      <c r="AO937" s="14"/>
      <c r="AP937" s="14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3"/>
      <c r="AF938" s="2"/>
      <c r="AG938" s="2"/>
      <c r="AH938" s="2"/>
      <c r="AI938" s="2"/>
      <c r="AM938" s="14"/>
      <c r="AN938" s="14"/>
      <c r="AO938" s="14"/>
      <c r="AP938" s="14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3"/>
      <c r="AF939" s="2"/>
      <c r="AG939" s="2"/>
      <c r="AH939" s="2"/>
      <c r="AI939" s="2"/>
      <c r="AM939" s="14"/>
      <c r="AN939" s="14"/>
      <c r="AO939" s="14"/>
      <c r="AP939" s="14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3"/>
      <c r="AF940" s="2"/>
      <c r="AG940" s="2"/>
      <c r="AH940" s="2"/>
      <c r="AI940" s="2"/>
      <c r="AM940" s="14"/>
      <c r="AN940" s="14"/>
      <c r="AO940" s="14"/>
      <c r="AP940" s="14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3"/>
      <c r="AF941" s="2"/>
      <c r="AG941" s="2"/>
      <c r="AH941" s="2"/>
      <c r="AI941" s="2"/>
      <c r="AM941" s="14"/>
      <c r="AN941" s="14"/>
      <c r="AO941" s="14"/>
      <c r="AP941" s="14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3"/>
      <c r="AF942" s="2"/>
      <c r="AG942" s="2"/>
      <c r="AH942" s="2"/>
      <c r="AI942" s="2"/>
      <c r="AM942" s="14"/>
      <c r="AN942" s="14"/>
      <c r="AO942" s="14"/>
      <c r="AP942" s="14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3"/>
      <c r="AF943" s="2"/>
      <c r="AG943" s="2"/>
      <c r="AH943" s="2"/>
      <c r="AI943" s="2"/>
      <c r="AM943" s="14"/>
      <c r="AN943" s="14"/>
      <c r="AO943" s="14"/>
      <c r="AP943" s="14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3"/>
      <c r="AF944" s="2"/>
      <c r="AG944" s="2"/>
      <c r="AH944" s="2"/>
      <c r="AI944" s="2"/>
      <c r="AM944" s="14"/>
      <c r="AN944" s="14"/>
      <c r="AO944" s="14"/>
      <c r="AP944" s="14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3"/>
      <c r="AF945" s="2"/>
      <c r="AG945" s="2"/>
      <c r="AH945" s="2"/>
      <c r="AI945" s="2"/>
      <c r="AM945" s="14"/>
      <c r="AN945" s="14"/>
      <c r="AO945" s="14"/>
      <c r="AP945" s="14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3"/>
      <c r="AF946" s="2"/>
      <c r="AG946" s="2"/>
      <c r="AH946" s="2"/>
      <c r="AI946" s="2"/>
      <c r="AM946" s="14"/>
      <c r="AN946" s="14"/>
      <c r="AO946" s="14"/>
      <c r="AP946" s="14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3"/>
      <c r="AF947" s="2"/>
      <c r="AG947" s="2"/>
      <c r="AH947" s="2"/>
      <c r="AI947" s="2"/>
      <c r="AM947" s="14"/>
      <c r="AN947" s="14"/>
      <c r="AO947" s="14"/>
      <c r="AP947" s="14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3"/>
      <c r="AF948" s="2"/>
      <c r="AG948" s="2"/>
      <c r="AH948" s="2"/>
      <c r="AI948" s="2"/>
      <c r="AM948" s="14"/>
      <c r="AN948" s="14"/>
      <c r="AO948" s="14"/>
      <c r="AP948" s="14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3"/>
      <c r="AF949" s="2"/>
      <c r="AG949" s="2"/>
      <c r="AH949" s="2"/>
      <c r="AI949" s="2"/>
      <c r="AM949" s="14"/>
      <c r="AN949" s="14"/>
      <c r="AO949" s="14"/>
      <c r="AP949" s="14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3"/>
      <c r="AF950" s="2"/>
      <c r="AG950" s="2"/>
      <c r="AH950" s="2"/>
      <c r="AI950" s="2"/>
      <c r="AM950" s="14"/>
      <c r="AN950" s="14"/>
      <c r="AO950" s="14"/>
      <c r="AP950" s="14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3"/>
      <c r="AF951" s="2"/>
      <c r="AG951" s="2"/>
      <c r="AH951" s="2"/>
      <c r="AI951" s="2"/>
      <c r="AM951" s="14"/>
      <c r="AN951" s="14"/>
      <c r="AO951" s="14"/>
      <c r="AP951" s="14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3"/>
      <c r="AF952" s="2"/>
      <c r="AG952" s="2"/>
      <c r="AH952" s="2"/>
      <c r="AI952" s="2"/>
      <c r="AM952" s="14"/>
      <c r="AN952" s="14"/>
      <c r="AO952" s="14"/>
      <c r="AP952" s="14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3"/>
      <c r="AF953" s="2"/>
      <c r="AG953" s="2"/>
      <c r="AH953" s="2"/>
      <c r="AI953" s="2"/>
      <c r="AM953" s="14"/>
      <c r="AN953" s="14"/>
      <c r="AO953" s="14"/>
      <c r="AP953" s="14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3"/>
      <c r="AF954" s="2"/>
      <c r="AG954" s="2"/>
      <c r="AH954" s="2"/>
      <c r="AI954" s="2"/>
      <c r="AM954" s="14"/>
      <c r="AN954" s="14"/>
      <c r="AO954" s="14"/>
      <c r="AP954" s="14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3"/>
      <c r="AF955" s="2"/>
      <c r="AG955" s="2"/>
      <c r="AH955" s="2"/>
      <c r="AI955" s="2"/>
      <c r="AM955" s="14"/>
      <c r="AN955" s="14"/>
      <c r="AO955" s="14"/>
      <c r="AP955" s="14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3"/>
      <c r="AF956" s="2"/>
      <c r="AG956" s="2"/>
      <c r="AH956" s="2"/>
      <c r="AI956" s="2"/>
      <c r="AM956" s="14"/>
      <c r="AN956" s="14"/>
      <c r="AO956" s="14"/>
      <c r="AP956" s="14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3"/>
      <c r="AF957" s="2"/>
      <c r="AG957" s="2"/>
      <c r="AH957" s="2"/>
      <c r="AI957" s="2"/>
      <c r="AM957" s="14"/>
      <c r="AN957" s="14"/>
      <c r="AO957" s="14"/>
      <c r="AP957" s="14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3"/>
      <c r="AF958" s="2"/>
      <c r="AG958" s="2"/>
      <c r="AH958" s="2"/>
      <c r="AI958" s="2"/>
      <c r="AM958" s="14"/>
      <c r="AN958" s="14"/>
      <c r="AO958" s="14"/>
      <c r="AP958" s="14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3"/>
      <c r="AF959" s="2"/>
      <c r="AG959" s="2"/>
      <c r="AH959" s="2"/>
      <c r="AI959" s="2"/>
      <c r="AM959" s="14"/>
      <c r="AN959" s="14"/>
      <c r="AO959" s="14"/>
      <c r="AP959" s="14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3"/>
      <c r="AF960" s="2"/>
      <c r="AG960" s="2"/>
      <c r="AH960" s="2"/>
      <c r="AI960" s="2"/>
      <c r="AM960" s="14"/>
      <c r="AN960" s="14"/>
      <c r="AO960" s="14"/>
      <c r="AP960" s="14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3"/>
      <c r="AF961" s="2"/>
      <c r="AG961" s="2"/>
      <c r="AH961" s="2"/>
      <c r="AI961" s="2"/>
      <c r="AM961" s="14"/>
      <c r="AN961" s="14"/>
      <c r="AO961" s="14"/>
      <c r="AP961" s="14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3"/>
      <c r="AF962" s="2"/>
      <c r="AG962" s="2"/>
      <c r="AH962" s="2"/>
      <c r="AI962" s="2"/>
      <c r="AM962" s="14"/>
      <c r="AN962" s="14"/>
      <c r="AO962" s="14"/>
      <c r="AP962" s="14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3"/>
      <c r="AF963" s="2"/>
      <c r="AG963" s="2"/>
      <c r="AH963" s="2"/>
      <c r="AI963" s="2"/>
      <c r="AM963" s="14"/>
      <c r="AN963" s="14"/>
      <c r="AO963" s="14"/>
      <c r="AP963" s="14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3"/>
      <c r="AF964" s="2"/>
      <c r="AG964" s="2"/>
      <c r="AH964" s="2"/>
      <c r="AI964" s="2"/>
      <c r="AM964" s="14"/>
      <c r="AN964" s="14"/>
      <c r="AO964" s="14"/>
      <c r="AP964" s="14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3"/>
      <c r="AF965" s="2"/>
      <c r="AG965" s="2"/>
      <c r="AH965" s="2"/>
      <c r="AI965" s="2"/>
      <c r="AM965" s="14"/>
      <c r="AN965" s="14"/>
      <c r="AO965" s="14"/>
      <c r="AP965" s="14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3"/>
      <c r="AF966" s="2"/>
      <c r="AG966" s="2"/>
      <c r="AH966" s="2"/>
      <c r="AI966" s="2"/>
      <c r="AM966" s="14"/>
      <c r="AN966" s="14"/>
      <c r="AO966" s="14"/>
      <c r="AP966" s="14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3"/>
      <c r="AF967" s="2"/>
      <c r="AG967" s="2"/>
      <c r="AH967" s="2"/>
      <c r="AI967" s="2"/>
      <c r="AM967" s="14"/>
      <c r="AN967" s="14"/>
      <c r="AO967" s="14"/>
      <c r="AP967" s="14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3"/>
      <c r="AF968" s="2"/>
      <c r="AG968" s="2"/>
      <c r="AH968" s="2"/>
      <c r="AI968" s="2"/>
      <c r="AM968" s="14"/>
      <c r="AN968" s="14"/>
      <c r="AO968" s="14"/>
      <c r="AP968" s="14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3"/>
      <c r="AF969" s="2"/>
      <c r="AG969" s="2"/>
      <c r="AH969" s="2"/>
      <c r="AI969" s="2"/>
      <c r="AM969" s="14"/>
      <c r="AN969" s="14"/>
      <c r="AO969" s="14"/>
      <c r="AP969" s="14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3"/>
      <c r="AF970" s="2"/>
      <c r="AG970" s="2"/>
      <c r="AH970" s="2"/>
      <c r="AI970" s="2"/>
      <c r="AM970" s="14"/>
      <c r="AN970" s="14"/>
      <c r="AO970" s="14"/>
      <c r="AP970" s="14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3"/>
      <c r="AF971" s="2"/>
      <c r="AG971" s="2"/>
      <c r="AH971" s="2"/>
      <c r="AI971" s="2"/>
      <c r="AM971" s="14"/>
      <c r="AN971" s="14"/>
      <c r="AO971" s="14"/>
      <c r="AP971" s="14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3"/>
      <c r="AF972" s="2"/>
      <c r="AG972" s="2"/>
      <c r="AH972" s="2"/>
      <c r="AI972" s="2"/>
      <c r="AM972" s="14"/>
      <c r="AN972" s="14"/>
      <c r="AO972" s="14"/>
      <c r="AP972" s="14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3"/>
      <c r="AF973" s="2"/>
      <c r="AG973" s="2"/>
      <c r="AH973" s="2"/>
      <c r="AI973" s="2"/>
      <c r="AM973" s="14"/>
      <c r="AN973" s="14"/>
      <c r="AO973" s="14"/>
      <c r="AP973" s="14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3"/>
      <c r="AF974" s="2"/>
      <c r="AG974" s="2"/>
      <c r="AH974" s="2"/>
      <c r="AI974" s="2"/>
      <c r="AM974" s="14"/>
      <c r="AN974" s="14"/>
      <c r="AO974" s="14"/>
      <c r="AP974" s="14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3"/>
      <c r="AF975" s="2"/>
      <c r="AG975" s="2"/>
      <c r="AH975" s="2"/>
      <c r="AI975" s="2"/>
      <c r="AM975" s="14"/>
      <c r="AN975" s="14"/>
      <c r="AO975" s="14"/>
      <c r="AP975" s="14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3"/>
      <c r="AF976" s="2"/>
      <c r="AG976" s="2"/>
      <c r="AH976" s="2"/>
      <c r="AI976" s="2"/>
      <c r="AM976" s="14"/>
      <c r="AN976" s="14"/>
      <c r="AO976" s="14"/>
      <c r="AP976" s="14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3"/>
      <c r="AF977" s="2"/>
      <c r="AG977" s="2"/>
      <c r="AH977" s="2"/>
      <c r="AI977" s="2"/>
      <c r="AM977" s="14"/>
      <c r="AN977" s="14"/>
      <c r="AO977" s="14"/>
      <c r="AP977" s="14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3"/>
      <c r="AF978" s="2"/>
      <c r="AG978" s="2"/>
      <c r="AH978" s="2"/>
      <c r="AI978" s="2"/>
      <c r="AM978" s="14"/>
      <c r="AN978" s="14"/>
      <c r="AO978" s="14"/>
      <c r="AP978" s="14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3"/>
      <c r="AF979" s="2"/>
      <c r="AG979" s="2"/>
      <c r="AH979" s="2"/>
      <c r="AI979" s="2"/>
      <c r="AM979" s="14"/>
      <c r="AN979" s="14"/>
      <c r="AO979" s="14"/>
      <c r="AP979" s="14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3"/>
      <c r="AF980" s="2"/>
      <c r="AG980" s="2"/>
      <c r="AH980" s="2"/>
      <c r="AI980" s="2"/>
      <c r="AM980" s="14"/>
      <c r="AN980" s="14"/>
      <c r="AO980" s="14"/>
      <c r="AP980" s="14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3"/>
      <c r="AF981" s="2"/>
      <c r="AG981" s="2"/>
      <c r="AH981" s="2"/>
      <c r="AI981" s="2"/>
      <c r="AM981" s="14"/>
      <c r="AN981" s="14"/>
      <c r="AO981" s="14"/>
      <c r="AP981" s="14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3"/>
      <c r="AF982" s="2"/>
      <c r="AG982" s="2"/>
      <c r="AH982" s="2"/>
      <c r="AI982" s="2"/>
      <c r="AM982" s="14"/>
      <c r="AN982" s="14"/>
      <c r="AO982" s="14"/>
      <c r="AP982" s="14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3"/>
      <c r="AF983" s="2"/>
      <c r="AG983" s="2"/>
      <c r="AH983" s="2"/>
      <c r="AI983" s="2"/>
      <c r="AM983" s="14"/>
      <c r="AN983" s="14"/>
      <c r="AO983" s="14"/>
      <c r="AP983" s="14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3"/>
      <c r="AF984" s="2"/>
      <c r="AG984" s="2"/>
      <c r="AH984" s="2"/>
      <c r="AI984" s="2"/>
      <c r="AM984" s="14"/>
      <c r="AN984" s="14"/>
      <c r="AO984" s="14"/>
      <c r="AP984" s="14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3"/>
      <c r="AF985" s="2"/>
      <c r="AG985" s="2"/>
      <c r="AH985" s="2"/>
      <c r="AI985" s="2"/>
      <c r="AM985" s="14"/>
      <c r="AN985" s="14"/>
      <c r="AO985" s="14"/>
      <c r="AP985" s="14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3"/>
      <c r="AF986" s="2"/>
      <c r="AG986" s="2"/>
      <c r="AH986" s="2"/>
      <c r="AI986" s="2"/>
      <c r="AM986" s="14"/>
      <c r="AN986" s="14"/>
      <c r="AO986" s="14"/>
      <c r="AP986" s="14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3"/>
      <c r="AF987" s="2"/>
      <c r="AG987" s="2"/>
      <c r="AH987" s="2"/>
      <c r="AI987" s="2"/>
      <c r="AM987" s="14"/>
      <c r="AN987" s="14"/>
      <c r="AO987" s="14"/>
      <c r="AP987" s="14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3"/>
      <c r="AF988" s="2"/>
      <c r="AG988" s="2"/>
      <c r="AH988" s="2"/>
      <c r="AI988" s="2"/>
      <c r="AM988" s="14"/>
      <c r="AN988" s="14"/>
      <c r="AO988" s="14"/>
      <c r="AP988" s="14"/>
    </row>
  </sheetData>
  <mergeCells count="70">
    <mergeCell ref="A9:Y9"/>
    <mergeCell ref="X10:Y11"/>
    <mergeCell ref="P23:P28"/>
    <mergeCell ref="Q23:Q28"/>
    <mergeCell ref="O23:O28"/>
    <mergeCell ref="R21:W21"/>
    <mergeCell ref="E13:E17"/>
    <mergeCell ref="E10:E11"/>
    <mergeCell ref="N23:N28"/>
    <mergeCell ref="F23:F28"/>
    <mergeCell ref="N21:N22"/>
    <mergeCell ref="O21:O22"/>
    <mergeCell ref="P21:P22"/>
    <mergeCell ref="F21:F22"/>
    <mergeCell ref="Q10:Q11"/>
    <mergeCell ref="P10:P11"/>
    <mergeCell ref="N10:N11"/>
    <mergeCell ref="O10:O11"/>
    <mergeCell ref="G30:P30"/>
    <mergeCell ref="G18:O18"/>
    <mergeCell ref="A20:W20"/>
    <mergeCell ref="G29:P29"/>
    <mergeCell ref="X12:Y12"/>
    <mergeCell ref="A10:A11"/>
    <mergeCell ref="N13:N17"/>
    <mergeCell ref="A29:F29"/>
    <mergeCell ref="Q21:Q22"/>
    <mergeCell ref="G21:L21"/>
    <mergeCell ref="R10:W11"/>
    <mergeCell ref="D2:W2"/>
    <mergeCell ref="N8:V8"/>
    <mergeCell ref="V4:W6"/>
    <mergeCell ref="B2:C4"/>
    <mergeCell ref="B5:C7"/>
    <mergeCell ref="V3:W3"/>
    <mergeCell ref="G3:M3"/>
    <mergeCell ref="G4:M4"/>
    <mergeCell ref="G5:M5"/>
    <mergeCell ref="G6:M6"/>
    <mergeCell ref="N3:U3"/>
    <mergeCell ref="N4:U4"/>
    <mergeCell ref="N5:U5"/>
    <mergeCell ref="N6:U6"/>
    <mergeCell ref="F10:F11"/>
    <mergeCell ref="D10:D11"/>
    <mergeCell ref="C13:C17"/>
    <mergeCell ref="D13:D17"/>
    <mergeCell ref="G10:L10"/>
    <mergeCell ref="AE13:AE17"/>
    <mergeCell ref="AE23:AE28"/>
    <mergeCell ref="Z13:Z17"/>
    <mergeCell ref="AA13:AA17"/>
    <mergeCell ref="AB13:AB17"/>
    <mergeCell ref="AC13:AC17"/>
    <mergeCell ref="Y2:Z2"/>
    <mergeCell ref="A23:C28"/>
    <mergeCell ref="D23:E28"/>
    <mergeCell ref="D21:E22"/>
    <mergeCell ref="A21:C22"/>
    <mergeCell ref="D3:F3"/>
    <mergeCell ref="D4:F7"/>
    <mergeCell ref="Z10:AC11"/>
    <mergeCell ref="A2:A7"/>
    <mergeCell ref="B10:B11"/>
    <mergeCell ref="C10:C11"/>
    <mergeCell ref="O13:O17"/>
    <mergeCell ref="P13:P17"/>
    <mergeCell ref="A13:A17"/>
    <mergeCell ref="B13:B17"/>
    <mergeCell ref="Q13:Q17"/>
  </mergeCells>
  <dataValidations count="2">
    <dataValidation type="list" allowBlank="1" showInputMessage="1" showErrorMessage="1" sqref="N23:N28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Agosto 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Agosto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2017-08-12T13:59:45Z</dcterms:modified>
</cp:coreProperties>
</file>