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Ricardo Lopez\Septiembre\"/>
    </mc:Choice>
  </mc:AlternateContent>
  <bookViews>
    <workbookView xWindow="0" yWindow="0" windowWidth="15360" windowHeight="7530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V23" i="2" l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Q38" i="2" l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18" i="2"/>
  <c r="AO44" i="2"/>
  <c r="AO45" i="2"/>
  <c r="AO46" i="2"/>
  <c r="D15" i="3"/>
  <c r="AO51" i="2"/>
  <c r="AR23" i="2"/>
  <c r="AQ23" i="2"/>
  <c r="AP23" i="2"/>
  <c r="AO23" i="2"/>
  <c r="AN23" i="2"/>
  <c r="AM23" i="2"/>
  <c r="D14" i="3"/>
  <c r="D16" i="3" s="1"/>
  <c r="Q18" i="2"/>
  <c r="Q39" i="2" l="1"/>
  <c r="AO47" i="2"/>
  <c r="Z7" i="2"/>
  <c r="AH34" i="2"/>
  <c r="AF23" i="2"/>
  <c r="AG35" i="2"/>
  <c r="AG31" i="2"/>
  <c r="AG25" i="2"/>
  <c r="AK23" i="2"/>
  <c r="AI35" i="2"/>
  <c r="AI23" i="2"/>
  <c r="AF36" i="2"/>
  <c r="AJ23" i="2"/>
  <c r="AF31" i="2"/>
  <c r="AI32" i="2"/>
  <c r="AG28" i="2"/>
  <c r="AF33" i="2"/>
  <c r="AJ34" i="2"/>
  <c r="AH29" i="2"/>
  <c r="AF24" i="2"/>
  <c r="AF25" i="2"/>
  <c r="AJ24" i="2"/>
  <c r="AH36" i="2"/>
  <c r="AH31" i="2"/>
  <c r="AJ37" i="2"/>
  <c r="AH37" i="2"/>
  <c r="AK37" i="2"/>
  <c r="AF35" i="2"/>
  <c r="AJ36" i="2"/>
  <c r="AJ33" i="2"/>
  <c r="AI31" i="2"/>
  <c r="AF28" i="2"/>
  <c r="AI33" i="2"/>
  <c r="AJ30" i="2"/>
  <c r="AI36" i="2"/>
  <c r="AG26" i="2"/>
  <c r="AH25" i="2"/>
  <c r="AG32" i="2"/>
  <c r="AG29" i="2"/>
  <c r="AJ26" i="2"/>
  <c r="AG34" i="2"/>
  <c r="AK27" i="2"/>
  <c r="AK35" i="2"/>
  <c r="AH32" i="2"/>
  <c r="AJ28" i="2"/>
  <c r="AG30" i="2"/>
  <c r="AI29" i="2"/>
  <c r="AI24" i="2"/>
  <c r="AK26" i="2"/>
  <c r="AI30" i="2"/>
  <c r="AK30" i="2"/>
  <c r="AH26" i="2"/>
  <c r="AK34" i="2"/>
  <c r="AK31" i="2"/>
  <c r="AJ31" i="2"/>
  <c r="AK32" i="2"/>
  <c r="AK33" i="2"/>
  <c r="AG24" i="2"/>
  <c r="AF27" i="2"/>
  <c r="AI26" i="2"/>
  <c r="AH24" i="2"/>
  <c r="AF37" i="2"/>
  <c r="AJ27" i="2"/>
  <c r="AH27" i="2"/>
  <c r="AI34" i="2"/>
  <c r="AI37" i="2"/>
  <c r="AI28" i="2"/>
  <c r="AF29" i="2"/>
  <c r="AF34" i="2"/>
  <c r="AK29" i="2"/>
  <c r="AG33" i="2"/>
  <c r="AH28" i="2"/>
  <c r="AJ25" i="2"/>
  <c r="AG27" i="2"/>
  <c r="AK25" i="2"/>
  <c r="AK36" i="2"/>
  <c r="AI25" i="2"/>
  <c r="AJ32" i="2"/>
  <c r="AH35" i="2"/>
  <c r="AH33" i="2"/>
  <c r="AJ35" i="2"/>
  <c r="AJ29" i="2"/>
  <c r="AG36" i="2"/>
  <c r="AH23" i="2"/>
  <c r="AF30" i="2"/>
  <c r="AH30" i="2"/>
  <c r="AF26" i="2"/>
  <c r="AK24" i="2"/>
  <c r="AI27" i="2"/>
  <c r="AG37" i="2"/>
  <c r="AK28" i="2"/>
  <c r="AF32" i="2"/>
  <c r="AG23" i="2"/>
  <c r="AN24" i="2" l="1"/>
  <c r="AN25" i="2" s="1"/>
  <c r="AM34" i="2"/>
  <c r="AM35" i="2" s="1"/>
  <c r="AR29" i="2"/>
  <c r="AR30" i="2" s="1"/>
  <c r="AM29" i="2"/>
  <c r="AM30" i="2" s="1"/>
  <c r="AO29" i="2"/>
  <c r="AO30" i="2" s="1"/>
  <c r="AN29" i="2"/>
  <c r="AN30" i="2" s="1"/>
  <c r="AR34" i="2"/>
  <c r="AR35" i="2" s="1"/>
  <c r="AO24" i="2"/>
  <c r="AO25" i="2" s="1"/>
  <c r="AP24" i="2"/>
  <c r="AP25" i="2" s="1"/>
  <c r="AM24" i="2"/>
  <c r="AM25" i="2" s="1"/>
  <c r="AO34" i="2"/>
  <c r="AO35" i="2" s="1"/>
  <c r="AN34" i="2"/>
  <c r="AN35" i="2" s="1"/>
  <c r="AP34" i="2"/>
  <c r="AP35" i="2" s="1"/>
  <c r="AQ29" i="2"/>
  <c r="AQ30" i="2" s="1"/>
  <c r="AP29" i="2"/>
  <c r="AP30" i="2" s="1"/>
  <c r="AQ24" i="2"/>
  <c r="AQ25" i="2" s="1"/>
  <c r="AR24" i="2"/>
  <c r="AR25" i="2" s="1"/>
  <c r="AQ34" i="2"/>
  <c r="AQ35" i="2" s="1"/>
  <c r="AO36" i="2" l="1"/>
  <c r="AE33" i="2" s="1"/>
  <c r="AO26" i="2"/>
  <c r="AE23" i="2" s="1"/>
  <c r="AO31" i="2"/>
  <c r="AE2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<sst xmlns="http://schemas.openxmlformats.org/spreadsheetml/2006/main" count="124" uniqueCount="74">
  <si>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</si>
  <si>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</si>
  <si>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</si>
  <si>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</si>
  <si>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</si>
  <si>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</si>
  <si>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</si>
  <si>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</si>
  <si>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</si>
  <si>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</si>
  <si>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</si>
  <si>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</si>
  <si>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</si>
  <si>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</si>
  <si>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</si>
  <si>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</si>
  <si>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</si>
  <si>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</si>
  <si>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</si>
  <si>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</si>
  <si>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</si>
  <si>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</si>
  <si>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</si>
  <si>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</si>
  <si>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</si>
  <si>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</si>
  <si>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</si>
  <si>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</si>
  <si>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</si>
  <si>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</si>
  <si>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</si>
  <si>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</si>
  <si>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</si>
  <si>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</si>
  <si>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</si>
  <si>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</si>
  <si>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</si>
  <si>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</si>
  <si>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</si>
  <si>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</si>
  <si>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</si>
  <si>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</si>
  <si>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</si>
  <si>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</si>
  <si>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</si>
  <si>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</si>
  <si>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</si>
  <si>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</si>
  <si>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</si>
  <si>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</si>
  <si>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</si>
  <si>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</si>
  <si>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</si>
  <si>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</si>
  <si>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</si>
  <si>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</si>
  <si>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</si>
  <si>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</si>
  <si>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</si>
  <si>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</si>
  <si>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</si>
  <si>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</si>
  <si>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</si>
  <si>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</si>
  <si>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</si>
  <si>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</si>
  <si>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</si>
  <si>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</si>
  <si>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</si>
  <si>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</si>
  <si>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</si>
  <si>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SEPTIEMBRE</t>
  </si>
  <si>
    <t xml:space="preserve">CREACION DE  CARPETAS EN EL LMS Y CALIFICACIÓN  DE  BITÁCORAS EN EL LMS </t>
  </si>
  <si>
    <t xml:space="preserve"> SEGUIMIENTO PRESENCIALES ETAPA PRACTICA FICHAS NO. 901244 - 1141507 - 515404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</si>
</sst>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07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6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93" xfId="0" applyFont="1" applyFill="1" applyBorder="1" applyAlignment="1">
      <alignment horizontal="right" vertical="center"/>
    </xf>
    <xf numFmtId="0" fontId="14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5" xfId="0" applyFont="1" applyBorder="1" applyAlignment="1">
      <alignment horizontal="right" vertical="center"/>
    </xf>
    <xf numFmtId="0" fontId="14" fillId="6" borderId="101" xfId="0" applyFont="1" applyFill="1" applyBorder="1" applyAlignment="1">
      <alignment horizontal="right" vertical="center"/>
    </xf>
    <xf numFmtId="0" fontId="11" fillId="0" borderId="75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6" xfId="0" applyFont="1" applyBorder="1" applyAlignment="1">
      <alignment horizontal="center" vertical="center"/>
    </xf>
    <xf numFmtId="0" fontId="17" fillId="6" borderId="102" xfId="0" applyFont="1" applyFill="1" applyBorder="1" applyAlignment="1">
      <alignment horizontal="center" vertical="center"/>
    </xf>
    <xf numFmtId="0" fontId="2" fillId="11" borderId="101" xfId="0" applyFont="1" applyFill="1" applyBorder="1" applyAlignment="1">
      <alignment horizontal="center"/>
    </xf>
    <xf numFmtId="0" fontId="2" fillId="11" borderId="103" xfId="0" applyFont="1" applyFill="1" applyBorder="1" applyAlignment="1">
      <alignment horizontal="center"/>
    </xf>
    <xf numFmtId="0" fontId="2" fillId="11" borderId="102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6" borderId="85" xfId="0" applyNumberFormat="1" applyFont="1" applyFill="1" applyBorder="1" applyAlignment="1">
      <alignment horizontal="center" vertical="center" wrapText="1"/>
    </xf>
    <xf numFmtId="2" fontId="2" fillId="16" borderId="62" xfId="0" applyNumberFormat="1" applyFont="1" applyFill="1" applyBorder="1" applyAlignment="1">
      <alignment horizontal="center" vertical="center" wrapText="1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2" fillId="16" borderId="60" xfId="0" applyNumberFormat="1" applyFont="1" applyFill="1" applyBorder="1" applyAlignment="1">
      <alignment horizontal="center"/>
    </xf>
    <xf numFmtId="2" fontId="2" fillId="16" borderId="65" xfId="0" applyNumberFormat="1" applyFont="1" applyFill="1" applyBorder="1" applyAlignment="1">
      <alignment horizontal="center"/>
    </xf>
    <xf numFmtId="2" fontId="1" fillId="16" borderId="44" xfId="0" applyNumberFormat="1" applyFont="1" applyFill="1" applyBorder="1" applyAlignment="1">
      <alignment horizontal="center"/>
    </xf>
    <xf numFmtId="2" fontId="1" fillId="16" borderId="60" xfId="0" applyNumberFormat="1" applyFont="1" applyFill="1" applyBorder="1" applyAlignment="1">
      <alignment horizontal="center"/>
    </xf>
    <xf numFmtId="2" fontId="1" fillId="16" borderId="56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98" xfId="0" applyNumberFormat="1" applyFont="1" applyBorder="1" applyAlignment="1">
      <alignment vertical="center" wrapText="1"/>
    </xf>
    <xf numFmtId="2" fontId="2" fillId="0" borderId="99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2" xfId="0" applyFont="1" applyFill="1" applyBorder="1" applyAlignment="1">
      <alignment horizontal="center" vertical="center" wrapText="1"/>
    </xf>
    <xf numFmtId="0" fontId="1" fillId="9" borderId="73" xfId="0" applyFont="1" applyFill="1" applyBorder="1" applyAlignment="1">
      <alignment horizontal="center" vertical="center" wrapText="1"/>
    </xf>
    <xf numFmtId="0" fontId="1" fillId="0" borderId="104" xfId="0" applyFont="1" applyFill="1" applyBorder="1" applyAlignment="1">
      <alignment horizontal="center" vertical="center" wrapText="1"/>
    </xf>
    <xf numFmtId="0" fontId="1" fillId="12" borderId="72" xfId="0" applyFont="1" applyFill="1" applyBorder="1" applyAlignment="1">
      <alignment horizontal="center" vertical="center" wrapText="1"/>
    </xf>
    <xf numFmtId="0" fontId="1" fillId="10" borderId="94" xfId="0" applyFont="1" applyFill="1" applyBorder="1" applyAlignment="1">
      <alignment horizontal="center" vertical="center" wrapText="1"/>
    </xf>
    <xf numFmtId="0" fontId="1" fillId="0" borderId="94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75" xfId="0" applyFont="1" applyFill="1" applyBorder="1" applyAlignment="1">
      <alignment horizontal="center" vertical="center" wrapText="1"/>
    </xf>
    <xf numFmtId="0" fontId="1" fillId="0" borderId="87" xfId="0" applyFont="1" applyFill="1" applyBorder="1"/>
    <xf numFmtId="0" fontId="1" fillId="0" borderId="88" xfId="0" applyFont="1" applyFill="1" applyBorder="1"/>
    <xf numFmtId="2" fontId="1" fillId="0" borderId="60" xfId="0" applyNumberFormat="1" applyFont="1" applyFill="1" applyBorder="1" applyAlignment="1">
      <alignment horizontal="center"/>
    </xf>
    <xf numFmtId="0" fontId="1" fillId="0" borderId="105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82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98" xfId="0" applyNumberFormat="1" applyFont="1" applyFill="1" applyBorder="1" applyAlignment="1">
      <alignment vertical="center" wrapText="1"/>
    </xf>
    <xf numFmtId="2" fontId="1" fillId="0" borderId="106" xfId="0" applyNumberFormat="1" applyFont="1" applyFill="1" applyBorder="1" applyAlignment="1">
      <alignment horizontal="center"/>
    </xf>
    <xf numFmtId="2" fontId="2" fillId="0" borderId="99" xfId="0" applyNumberFormat="1" applyFont="1" applyFill="1" applyBorder="1" applyAlignment="1">
      <alignment vertical="center" wrapText="1"/>
    </xf>
    <xf numFmtId="2" fontId="2" fillId="0" borderId="100" xfId="0" applyNumberFormat="1" applyFont="1" applyFill="1" applyBorder="1" applyAlignment="1">
      <alignment vertical="center" wrapText="1"/>
    </xf>
    <xf numFmtId="0" fontId="1" fillId="0" borderId="107" xfId="0" applyFont="1" applyFill="1" applyBorder="1"/>
    <xf numFmtId="0" fontId="1" fillId="0" borderId="108" xfId="0" applyFont="1" applyFill="1" applyBorder="1" applyAlignment="1">
      <alignment horizontal="center" vertical="center" wrapText="1"/>
    </xf>
    <xf numFmtId="0" fontId="1" fillId="9" borderId="94" xfId="0" applyFont="1" applyFill="1" applyBorder="1" applyAlignment="1">
      <alignment horizontal="center" vertical="center" wrapText="1"/>
    </xf>
    <xf numFmtId="2" fontId="1" fillId="0" borderId="60" xfId="0" applyNumberFormat="1" applyFont="1" applyBorder="1" applyAlignment="1">
      <alignment horizontal="center"/>
    </xf>
    <xf numFmtId="0" fontId="1" fillId="0" borderId="89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12" borderId="17" xfId="0" applyFont="1" applyFill="1" applyBorder="1" applyAlignment="1">
      <alignment horizontal="center" vertical="center" wrapText="1"/>
    </xf>
    <xf numFmtId="0" fontId="1" fillId="0" borderId="108" xfId="0" applyFont="1" applyFill="1" applyBorder="1" applyAlignment="1">
      <alignment vertical="top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3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4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8" xfId="0" applyFont="1" applyFill="1" applyBorder="1"/>
    <xf numFmtId="0" fontId="1" fillId="0" borderId="53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8" fillId="0" borderId="25" xfId="0" applyFont="1" applyFill="1" applyBorder="1" applyAlignment="1">
      <alignment horizontal="center" vertical="center" wrapText="1"/>
    </xf>
    <xf numFmtId="0" fontId="18" fillId="0" borderId="15" xfId="0" applyFont="1" applyFill="1" applyBorder="1"/>
    <xf numFmtId="0" fontId="18" fillId="0" borderId="31" xfId="0" applyFont="1" applyFill="1" applyBorder="1"/>
    <xf numFmtId="0" fontId="18" fillId="0" borderId="24" xfId="0" applyFont="1" applyFill="1" applyBorder="1" applyAlignment="1">
      <alignment horizontal="center" vertical="center" wrapText="1"/>
    </xf>
    <xf numFmtId="0" fontId="18" fillId="0" borderId="28" xfId="0" applyFont="1" applyFill="1" applyBorder="1"/>
    <xf numFmtId="0" fontId="18" fillId="0" borderId="30" xfId="0" applyFont="1" applyFill="1" applyBorder="1"/>
    <xf numFmtId="0" fontId="1" fillId="0" borderId="15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/>
    </xf>
    <xf numFmtId="0" fontId="1" fillId="11" borderId="86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35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1" fillId="17" borderId="92" xfId="0" applyFont="1" applyFill="1" applyBorder="1" applyAlignment="1">
      <alignment horizontal="center" vertical="center"/>
    </xf>
    <xf numFmtId="0" fontId="1" fillId="17" borderId="91" xfId="0" applyFont="1" applyFill="1" applyBorder="1" applyAlignment="1">
      <alignment horizontal="center" vertical="center"/>
    </xf>
    <xf numFmtId="0" fontId="1" fillId="17" borderId="51" xfId="0" applyFont="1" applyFill="1" applyBorder="1" applyAlignment="1">
      <alignment horizontal="center" vertical="center"/>
    </xf>
    <xf numFmtId="0" fontId="1" fillId="0" borderId="90" xfId="0" applyFont="1" applyFill="1" applyBorder="1" applyAlignment="1">
      <alignment horizontal="center" vertical="top" wrapText="1"/>
    </xf>
    <xf numFmtId="0" fontId="1" fillId="0" borderId="108" xfId="0" applyFont="1" applyFill="1" applyBorder="1" applyAlignment="1">
      <alignment horizontal="center" vertical="top" wrapText="1"/>
    </xf>
    <xf numFmtId="0" fontId="1" fillId="0" borderId="109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vertical="top"/>
    </xf>
    <xf numFmtId="0" fontId="1" fillId="0" borderId="110" xfId="0" applyFont="1" applyFill="1" applyBorder="1" applyAlignment="1">
      <alignment vertical="top"/>
    </xf>
    <xf numFmtId="0" fontId="1" fillId="6" borderId="5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8" fillId="0" borderId="15" xfId="0" applyFont="1" applyFill="1" applyBorder="1" applyAlignment="1">
      <alignment wrapText="1"/>
    </xf>
    <xf numFmtId="0" fontId="18" fillId="0" borderId="31" xfId="0" applyFont="1" applyFill="1" applyBorder="1" applyAlignment="1">
      <alignment wrapText="1"/>
    </xf>
    <xf numFmtId="0" fontId="1" fillId="0" borderId="25" xfId="0" applyFont="1" applyFill="1" applyBorder="1" applyAlignment="1">
      <alignment horizontal="center" vertical="center" wrapText="1"/>
    </xf>
    <xf numFmtId="0" fontId="1" fillId="0" borderId="31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0" fillId="0" borderId="61" xfId="0" applyFont="1" applyFill="1" applyBorder="1" applyAlignment="1">
      <alignment horizontal="center" vertical="center"/>
    </xf>
    <xf numFmtId="0" fontId="0" fillId="0" borderId="64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17" fillId="11" borderId="38" xfId="0" applyFont="1" applyFill="1" applyBorder="1" applyAlignment="1">
      <alignment horizontal="center" vertical="center"/>
    </xf>
    <xf numFmtId="0" fontId="17" fillId="11" borderId="70" xfId="0" applyFont="1" applyFill="1" applyBorder="1" applyAlignment="1">
      <alignment horizontal="center" vertical="center"/>
    </xf>
    <xf numFmtId="0" fontId="2" fillId="14" borderId="53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1" fontId="1" fillId="0" borderId="92" xfId="0" applyNumberFormat="1" applyFont="1" applyBorder="1" applyAlignment="1">
      <alignment horizontal="center" vertical="center"/>
    </xf>
    <xf numFmtId="1" fontId="1" fillId="0" borderId="91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7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topLeftCell="A10" zoomScale="69" zoomScaleNormal="69" workbookViewId="0">
      <selection activeCell="N23" sqref="N23:N2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3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29" t="s">
        <v>0</v>
      </c>
      <c r="B2" s="249"/>
      <c r="C2" s="249"/>
      <c r="D2" s="239" t="s">
        <v>45</v>
      </c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4"/>
      <c r="Y2" s="266" t="s">
        <v>67</v>
      </c>
      <c r="Z2" s="267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30"/>
      <c r="B3" s="249"/>
      <c r="C3" s="249"/>
      <c r="D3" s="251" t="s">
        <v>55</v>
      </c>
      <c r="E3" s="251"/>
      <c r="F3" s="251"/>
      <c r="G3" s="251" t="s">
        <v>27</v>
      </c>
      <c r="H3" s="251"/>
      <c r="I3" s="251"/>
      <c r="J3" s="251"/>
      <c r="K3" s="251"/>
      <c r="L3" s="251"/>
      <c r="M3" s="251"/>
      <c r="N3" s="251" t="s">
        <v>28</v>
      </c>
      <c r="O3" s="251"/>
      <c r="P3" s="251"/>
      <c r="Q3" s="251"/>
      <c r="R3" s="251"/>
      <c r="S3" s="251"/>
      <c r="T3" s="251"/>
      <c r="U3" s="251"/>
      <c r="V3" s="251" t="s">
        <v>30</v>
      </c>
      <c r="W3" s="251"/>
      <c r="X3" s="4"/>
      <c r="Y3" s="85" t="s">
        <v>61</v>
      </c>
      <c r="Z3" s="91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30"/>
      <c r="B4" s="249"/>
      <c r="C4" s="249"/>
      <c r="D4" s="292" t="s">
        <v>71</v>
      </c>
      <c r="E4" s="293"/>
      <c r="F4" s="294"/>
      <c r="G4" s="256" t="s">
        <v>69</v>
      </c>
      <c r="H4" s="256"/>
      <c r="I4" s="256"/>
      <c r="J4" s="256"/>
      <c r="K4" s="256"/>
      <c r="L4" s="256"/>
      <c r="M4" s="256"/>
      <c r="N4" s="252" t="s">
        <v>70</v>
      </c>
      <c r="O4" s="253"/>
      <c r="P4" s="253"/>
      <c r="Q4" s="253"/>
      <c r="R4" s="253"/>
      <c r="S4" s="253"/>
      <c r="T4" s="253"/>
      <c r="U4" s="254"/>
      <c r="V4" s="243">
        <v>42985</v>
      </c>
      <c r="W4" s="244"/>
      <c r="X4" s="4"/>
      <c r="Y4" s="86" t="s">
        <v>60</v>
      </c>
      <c r="Z4" s="92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30"/>
      <c r="B5" s="250" t="s">
        <v>26</v>
      </c>
      <c r="C5" s="250"/>
      <c r="D5" s="295"/>
      <c r="E5" s="296"/>
      <c r="F5" s="297"/>
      <c r="G5" s="251" t="s">
        <v>1</v>
      </c>
      <c r="H5" s="251"/>
      <c r="I5" s="251"/>
      <c r="J5" s="251"/>
      <c r="K5" s="251"/>
      <c r="L5" s="251"/>
      <c r="M5" s="251"/>
      <c r="N5" s="255" t="s">
        <v>29</v>
      </c>
      <c r="O5" s="255"/>
      <c r="P5" s="255"/>
      <c r="Q5" s="255"/>
      <c r="R5" s="255"/>
      <c r="S5" s="255"/>
      <c r="T5" s="255"/>
      <c r="U5" s="255"/>
      <c r="V5" s="245"/>
      <c r="W5" s="246"/>
      <c r="X5" s="4"/>
      <c r="Y5" s="86" t="s">
        <v>62</v>
      </c>
      <c r="Z5" s="92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30"/>
      <c r="B6" s="250"/>
      <c r="C6" s="250"/>
      <c r="D6" s="295"/>
      <c r="E6" s="296"/>
      <c r="F6" s="297"/>
      <c r="G6" s="256">
        <v>76333019</v>
      </c>
      <c r="H6" s="256"/>
      <c r="I6" s="256"/>
      <c r="J6" s="256"/>
      <c r="K6" s="256"/>
      <c r="L6" s="256"/>
      <c r="M6" s="256"/>
      <c r="N6" s="256">
        <v>3052908671</v>
      </c>
      <c r="O6" s="256"/>
      <c r="P6" s="256"/>
      <c r="Q6" s="256"/>
      <c r="R6" s="256"/>
      <c r="S6" s="256"/>
      <c r="T6" s="256"/>
      <c r="U6" s="256"/>
      <c r="V6" s="247"/>
      <c r="W6" s="248"/>
      <c r="X6" s="4"/>
      <c r="Y6" s="89" t="s">
        <v>63</v>
      </c>
      <c r="Z6" s="93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30"/>
      <c r="B7" s="250"/>
      <c r="C7" s="250"/>
      <c r="D7" s="298"/>
      <c r="E7" s="299"/>
      <c r="F7" s="300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8"/>
      <c r="X7" s="4"/>
      <c r="Y7" s="90" t="s">
        <v>64</v>
      </c>
      <c r="Z7" s="94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41"/>
      <c r="O8" s="242"/>
      <c r="P8" s="242"/>
      <c r="Q8" s="242"/>
      <c r="R8" s="242"/>
      <c r="S8" s="242"/>
      <c r="T8" s="242"/>
      <c r="U8" s="242"/>
      <c r="V8" s="242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02" t="s">
        <v>31</v>
      </c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74"/>
      <c r="AA9" s="74"/>
      <c r="AB9" s="74"/>
      <c r="AC9" s="74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10" t="s">
        <v>2</v>
      </c>
      <c r="B10" s="172" t="s">
        <v>3</v>
      </c>
      <c r="C10" s="172" t="s">
        <v>44</v>
      </c>
      <c r="D10" s="172" t="s">
        <v>54</v>
      </c>
      <c r="E10" s="172" t="s">
        <v>7</v>
      </c>
      <c r="F10" s="172" t="s">
        <v>4</v>
      </c>
      <c r="G10" s="187" t="s">
        <v>6</v>
      </c>
      <c r="H10" s="188"/>
      <c r="I10" s="188"/>
      <c r="J10" s="188"/>
      <c r="K10" s="188"/>
      <c r="L10" s="188"/>
      <c r="M10" s="29"/>
      <c r="N10" s="172" t="s">
        <v>5</v>
      </c>
      <c r="O10" s="172" t="s">
        <v>32</v>
      </c>
      <c r="P10" s="172" t="s">
        <v>8</v>
      </c>
      <c r="Q10" s="172" t="s">
        <v>9</v>
      </c>
      <c r="R10" s="224" t="s">
        <v>10</v>
      </c>
      <c r="S10" s="188"/>
      <c r="T10" s="188"/>
      <c r="U10" s="188"/>
      <c r="V10" s="188"/>
      <c r="W10" s="188"/>
      <c r="X10" s="204" t="s">
        <v>51</v>
      </c>
      <c r="Y10" s="205"/>
      <c r="Z10" s="301" t="s">
        <v>56</v>
      </c>
      <c r="AA10" s="302"/>
      <c r="AB10" s="302"/>
      <c r="AC10" s="303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11"/>
      <c r="B11" s="222"/>
      <c r="C11" s="222"/>
      <c r="D11" s="222"/>
      <c r="E11" s="222"/>
      <c r="F11" s="222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27"/>
      <c r="O11" s="228"/>
      <c r="P11" s="222"/>
      <c r="Q11" s="222"/>
      <c r="R11" s="225"/>
      <c r="S11" s="226"/>
      <c r="T11" s="226"/>
      <c r="U11" s="226"/>
      <c r="V11" s="226"/>
      <c r="W11" s="226"/>
      <c r="X11" s="206"/>
      <c r="Y11" s="207"/>
      <c r="Z11" s="304"/>
      <c r="AA11" s="305"/>
      <c r="AB11" s="305"/>
      <c r="AC11" s="306"/>
      <c r="AD11" s="4"/>
      <c r="AE11" s="98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08"/>
      <c r="Y12" s="209"/>
      <c r="Z12" s="95" t="s">
        <v>52</v>
      </c>
      <c r="AA12" s="96" t="s">
        <v>57</v>
      </c>
      <c r="AB12" s="96" t="s">
        <v>53</v>
      </c>
      <c r="AC12" s="97" t="s">
        <v>58</v>
      </c>
      <c r="AD12" s="4"/>
      <c r="AE12" s="78" t="s">
        <v>59</v>
      </c>
      <c r="AF12" s="77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198"/>
      <c r="B13" s="195"/>
      <c r="C13" s="195"/>
      <c r="D13" s="237"/>
      <c r="E13" s="219"/>
      <c r="F13" s="217"/>
      <c r="G13" s="101"/>
      <c r="H13" s="102"/>
      <c r="I13" s="102"/>
      <c r="J13" s="102"/>
      <c r="K13" s="102"/>
      <c r="L13" s="102"/>
      <c r="M13" s="103"/>
      <c r="N13" s="212"/>
      <c r="O13" s="231"/>
      <c r="P13" s="184"/>
      <c r="Q13" s="233"/>
      <c r="R13" s="127"/>
      <c r="S13" s="125"/>
      <c r="T13" s="125"/>
      <c r="U13" s="125"/>
      <c r="V13" s="124"/>
      <c r="W13" s="147"/>
      <c r="X13" s="214"/>
      <c r="Y13" s="128"/>
      <c r="Z13" s="263"/>
      <c r="AA13" s="257"/>
      <c r="AB13" s="257"/>
      <c r="AC13" s="260"/>
      <c r="AD13" s="5"/>
      <c r="AE13" s="283"/>
      <c r="AF13" s="40"/>
      <c r="AG13" s="40"/>
      <c r="AH13" s="40"/>
      <c r="AI13" s="40"/>
      <c r="AJ13" s="40"/>
      <c r="AK13" s="41"/>
      <c r="AL13" s="42"/>
      <c r="AM13" s="43"/>
      <c r="AN13" s="43"/>
      <c r="AO13" s="43"/>
      <c r="AP13" s="43"/>
      <c r="AQ13" s="43"/>
      <c r="AR13" s="43"/>
    </row>
    <row r="14" spans="1:44" ht="20.100000000000001" customHeight="1" thickBot="1" x14ac:dyDescent="0.25">
      <c r="A14" s="199"/>
      <c r="B14" s="196"/>
      <c r="C14" s="235"/>
      <c r="D14" s="201"/>
      <c r="E14" s="220"/>
      <c r="F14" s="218"/>
      <c r="G14" s="104"/>
      <c r="H14" s="104"/>
      <c r="I14" s="104"/>
      <c r="J14" s="104"/>
      <c r="K14" s="104"/>
      <c r="L14" s="105"/>
      <c r="M14" s="106"/>
      <c r="N14" s="213"/>
      <c r="O14" s="232"/>
      <c r="P14" s="201"/>
      <c r="Q14" s="234"/>
      <c r="R14" s="124"/>
      <c r="S14" s="124"/>
      <c r="T14" s="124"/>
      <c r="U14" s="124"/>
      <c r="V14" s="124"/>
      <c r="W14" s="121"/>
      <c r="X14" s="215"/>
      <c r="Y14" s="129"/>
      <c r="Z14" s="264"/>
      <c r="AA14" s="258"/>
      <c r="AB14" s="258"/>
      <c r="AC14" s="261"/>
      <c r="AD14" s="5"/>
      <c r="AE14" s="284"/>
      <c r="AF14" s="75"/>
      <c r="AG14" s="75"/>
      <c r="AH14" s="75"/>
      <c r="AI14" s="75"/>
      <c r="AJ14" s="75"/>
      <c r="AK14" s="45"/>
      <c r="AL14" s="42"/>
      <c r="AM14" s="43"/>
      <c r="AN14" s="43"/>
      <c r="AO14" s="43"/>
      <c r="AP14" s="43"/>
      <c r="AQ14" s="43"/>
      <c r="AR14" s="43"/>
    </row>
    <row r="15" spans="1:44" ht="24.75" customHeight="1" thickBot="1" x14ac:dyDescent="0.25">
      <c r="A15" s="199"/>
      <c r="B15" s="196"/>
      <c r="C15" s="235"/>
      <c r="D15" s="201"/>
      <c r="E15" s="220"/>
      <c r="F15" s="152"/>
      <c r="G15" s="104"/>
      <c r="H15" s="104"/>
      <c r="I15" s="104"/>
      <c r="J15" s="104"/>
      <c r="K15" s="104"/>
      <c r="L15" s="105"/>
      <c r="M15" s="106"/>
      <c r="N15" s="213"/>
      <c r="O15" s="232"/>
      <c r="P15" s="201"/>
      <c r="Q15" s="234"/>
      <c r="R15" s="123"/>
      <c r="S15" s="124"/>
      <c r="T15" s="124"/>
      <c r="U15" s="124"/>
      <c r="V15" s="124"/>
      <c r="W15" s="121"/>
      <c r="X15" s="215"/>
      <c r="Y15" s="129"/>
      <c r="Z15" s="264"/>
      <c r="AA15" s="258"/>
      <c r="AB15" s="258"/>
      <c r="AC15" s="261"/>
      <c r="AD15" s="5"/>
      <c r="AE15" s="284"/>
      <c r="AF15" s="75"/>
      <c r="AG15" s="75"/>
      <c r="AH15" s="75"/>
      <c r="AI15" s="75"/>
      <c r="AJ15" s="75"/>
      <c r="AK15" s="45"/>
      <c r="AL15" s="42"/>
      <c r="AM15" s="43"/>
      <c r="AN15" s="43"/>
      <c r="AO15" s="43"/>
      <c r="AP15" s="43"/>
      <c r="AQ15" s="43"/>
      <c r="AR15" s="43"/>
    </row>
    <row r="16" spans="1:44" ht="20.100000000000001" customHeight="1" thickBot="1" x14ac:dyDescent="0.25">
      <c r="A16" s="199"/>
      <c r="B16" s="196"/>
      <c r="C16" s="235"/>
      <c r="D16" s="201"/>
      <c r="E16" s="220"/>
      <c r="F16" s="217"/>
      <c r="G16" s="104"/>
      <c r="H16" s="104"/>
      <c r="I16" s="104"/>
      <c r="J16" s="104"/>
      <c r="K16" s="104"/>
      <c r="L16" s="105"/>
      <c r="M16" s="106"/>
      <c r="N16" s="213"/>
      <c r="O16" s="232"/>
      <c r="P16" s="201"/>
      <c r="Q16" s="234"/>
      <c r="R16" s="123"/>
      <c r="S16" s="123"/>
      <c r="T16" s="123"/>
      <c r="U16" s="123"/>
      <c r="V16" s="123"/>
      <c r="W16" s="121"/>
      <c r="X16" s="215"/>
      <c r="Y16" s="129"/>
      <c r="Z16" s="264"/>
      <c r="AA16" s="258"/>
      <c r="AB16" s="258"/>
      <c r="AC16" s="261"/>
      <c r="AD16" s="5"/>
      <c r="AE16" s="284"/>
      <c r="AF16" s="75"/>
      <c r="AG16" s="75"/>
      <c r="AH16" s="75"/>
      <c r="AI16" s="75"/>
      <c r="AJ16" s="75"/>
      <c r="AK16" s="45"/>
      <c r="AL16" s="42"/>
      <c r="AM16" s="43"/>
      <c r="AN16" s="43"/>
      <c r="AO16" s="46"/>
      <c r="AP16" s="43"/>
      <c r="AQ16" s="43"/>
      <c r="AR16" s="43"/>
    </row>
    <row r="17" spans="1:44" ht="24" customHeight="1" thickBot="1" x14ac:dyDescent="0.25">
      <c r="A17" s="200"/>
      <c r="B17" s="197"/>
      <c r="C17" s="236"/>
      <c r="D17" s="238"/>
      <c r="E17" s="221"/>
      <c r="F17" s="218"/>
      <c r="G17" s="107"/>
      <c r="H17" s="108"/>
      <c r="I17" s="108"/>
      <c r="J17" s="108"/>
      <c r="K17" s="108"/>
      <c r="L17" s="107"/>
      <c r="M17" s="109"/>
      <c r="N17" s="213"/>
      <c r="O17" s="232"/>
      <c r="P17" s="201"/>
      <c r="Q17" s="234"/>
      <c r="R17" s="123"/>
      <c r="S17" s="123"/>
      <c r="T17" s="123"/>
      <c r="U17" s="123"/>
      <c r="V17" s="123"/>
      <c r="W17" s="132"/>
      <c r="X17" s="216"/>
      <c r="Y17" s="133"/>
      <c r="Z17" s="265"/>
      <c r="AA17" s="259"/>
      <c r="AB17" s="259"/>
      <c r="AC17" s="262"/>
      <c r="AD17" s="5"/>
      <c r="AE17" s="285"/>
      <c r="AF17" s="47"/>
      <c r="AG17" s="47"/>
      <c r="AH17" s="47"/>
      <c r="AI17" s="47"/>
      <c r="AJ17" s="47"/>
      <c r="AK17" s="48"/>
      <c r="AL17" s="42"/>
      <c r="AM17" s="43"/>
      <c r="AN17" s="43"/>
      <c r="AO17" s="43"/>
      <c r="AP17" s="43"/>
      <c r="AQ17" s="43"/>
      <c r="AR17" s="43"/>
    </row>
    <row r="18" spans="1:44" ht="32.25" customHeight="1" thickBot="1" x14ac:dyDescent="0.25">
      <c r="A18" s="100"/>
      <c r="B18" s="99"/>
      <c r="C18" s="99"/>
      <c r="D18" s="99"/>
      <c r="E18" s="99"/>
      <c r="F18" s="99"/>
      <c r="G18" s="156" t="s">
        <v>49</v>
      </c>
      <c r="H18" s="157"/>
      <c r="I18" s="157"/>
      <c r="J18" s="157"/>
      <c r="K18" s="157"/>
      <c r="L18" s="157"/>
      <c r="M18" s="157"/>
      <c r="N18" s="157"/>
      <c r="O18" s="157"/>
      <c r="P18" s="50">
        <f>SUM(P13:P17)</f>
        <v>0</v>
      </c>
      <c r="Q18" s="50">
        <f>SUM(Q13:Q17)</f>
        <v>0</v>
      </c>
      <c r="R18" s="51"/>
      <c r="S18" s="51"/>
      <c r="T18" s="51"/>
      <c r="U18" s="51"/>
      <c r="V18" s="51"/>
      <c r="W18" s="52"/>
      <c r="X18" s="4"/>
      <c r="Y18" s="4"/>
      <c r="Z18" s="4"/>
      <c r="AA18" s="4"/>
      <c r="AB18" s="4"/>
      <c r="AC18" s="4"/>
      <c r="AD18" s="5"/>
      <c r="AE18" s="16"/>
      <c r="AF18" s="5"/>
      <c r="AG18" s="5"/>
      <c r="AH18" s="5"/>
      <c r="AI18" s="5"/>
      <c r="AM18" s="49"/>
      <c r="AN18" s="49"/>
      <c r="AO18" s="49"/>
      <c r="AP18" s="49"/>
    </row>
    <row r="19" spans="1:44" s="58" customFormat="1" ht="27.75" customHeight="1" thickBot="1" x14ac:dyDescent="0.35">
      <c r="A19" s="66"/>
      <c r="B19" s="67"/>
      <c r="C19" s="67"/>
      <c r="D19" s="67"/>
      <c r="E19" s="67"/>
      <c r="F19" s="67"/>
      <c r="G19" s="53"/>
      <c r="H19" s="53"/>
      <c r="I19" s="53"/>
      <c r="J19" s="53"/>
      <c r="K19" s="53"/>
      <c r="L19" s="53"/>
      <c r="M19" s="53"/>
      <c r="N19" s="53"/>
      <c r="O19" s="53"/>
      <c r="P19" s="54"/>
      <c r="Q19" s="54"/>
      <c r="R19" s="68"/>
      <c r="S19" s="68"/>
      <c r="T19" s="68"/>
      <c r="U19" s="68"/>
      <c r="V19" s="68"/>
      <c r="W19" s="69"/>
      <c r="X19" s="55"/>
      <c r="AA19" s="83"/>
      <c r="AB19" s="55"/>
      <c r="AC19" s="55"/>
      <c r="AD19" s="56"/>
      <c r="AE19" s="57"/>
      <c r="AF19" s="56"/>
      <c r="AG19" s="56"/>
      <c r="AH19" s="56"/>
      <c r="AI19" s="56"/>
      <c r="AM19" s="59"/>
      <c r="AN19" s="59"/>
      <c r="AO19" s="59"/>
      <c r="AP19" s="59"/>
      <c r="AQ19" s="60"/>
      <c r="AR19" s="60"/>
    </row>
    <row r="20" spans="1:44" ht="37.5" customHeight="1" thickBot="1" x14ac:dyDescent="0.35">
      <c r="A20" s="158" t="s">
        <v>17</v>
      </c>
      <c r="B20" s="159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60"/>
      <c r="AA20" s="84"/>
      <c r="AE20" s="16"/>
      <c r="AF20" s="5"/>
      <c r="AG20" s="5"/>
      <c r="AH20" s="5"/>
      <c r="AI20" s="5"/>
      <c r="AM20" s="49"/>
      <c r="AN20" s="49"/>
      <c r="AO20" s="49"/>
      <c r="AP20" s="49"/>
    </row>
    <row r="21" spans="1:44" ht="38.25" customHeight="1" x14ac:dyDescent="0.2">
      <c r="A21" s="289" t="s">
        <v>18</v>
      </c>
      <c r="B21" s="176"/>
      <c r="C21" s="290"/>
      <c r="D21" s="174" t="s">
        <v>19</v>
      </c>
      <c r="E21" s="286"/>
      <c r="F21" s="176" t="s">
        <v>20</v>
      </c>
      <c r="G21" s="174" t="s">
        <v>6</v>
      </c>
      <c r="H21" s="175"/>
      <c r="I21" s="175"/>
      <c r="J21" s="175"/>
      <c r="K21" s="175"/>
      <c r="L21" s="175"/>
      <c r="M21" s="76"/>
      <c r="N21" s="193" t="s">
        <v>41</v>
      </c>
      <c r="O21" s="172" t="s">
        <v>21</v>
      </c>
      <c r="P21" s="172" t="s">
        <v>22</v>
      </c>
      <c r="Q21" s="172" t="s">
        <v>23</v>
      </c>
      <c r="R21" s="187" t="s">
        <v>24</v>
      </c>
      <c r="S21" s="188"/>
      <c r="T21" s="188"/>
      <c r="U21" s="188"/>
      <c r="V21" s="188"/>
      <c r="W21" s="189"/>
      <c r="AA21" s="73"/>
      <c r="AB21" s="73"/>
      <c r="AC21" s="73"/>
      <c r="AE21" s="21"/>
      <c r="AF21" s="4"/>
      <c r="AG21" s="4"/>
      <c r="AH21" s="4"/>
      <c r="AI21" s="4"/>
      <c r="AM21" s="22"/>
      <c r="AN21" s="22"/>
      <c r="AO21" s="22"/>
      <c r="AP21" s="22"/>
    </row>
    <row r="22" spans="1:44" ht="17.25" customHeight="1" thickBot="1" x14ac:dyDescent="0.25">
      <c r="A22" s="287"/>
      <c r="B22" s="291"/>
      <c r="C22" s="288"/>
      <c r="D22" s="287"/>
      <c r="E22" s="288"/>
      <c r="F22" s="177"/>
      <c r="G22" s="79" t="s">
        <v>11</v>
      </c>
      <c r="H22" s="70" t="s">
        <v>12</v>
      </c>
      <c r="I22" s="70" t="s">
        <v>12</v>
      </c>
      <c r="J22" s="70" t="s">
        <v>13</v>
      </c>
      <c r="K22" s="70" t="s">
        <v>14</v>
      </c>
      <c r="L22" s="71" t="s">
        <v>15</v>
      </c>
      <c r="M22" s="72" t="s">
        <v>16</v>
      </c>
      <c r="N22" s="194"/>
      <c r="O22" s="223"/>
      <c r="P22" s="173"/>
      <c r="Q22" s="173"/>
      <c r="R22" s="70" t="s">
        <v>11</v>
      </c>
      <c r="S22" s="36" t="s">
        <v>12</v>
      </c>
      <c r="T22" s="36" t="s">
        <v>12</v>
      </c>
      <c r="U22" s="70" t="s">
        <v>13</v>
      </c>
      <c r="V22" s="70" t="s">
        <v>14</v>
      </c>
      <c r="W22" s="72" t="s">
        <v>15</v>
      </c>
      <c r="X22" s="65"/>
      <c r="AA22" s="73"/>
      <c r="AB22" s="73"/>
      <c r="AC22" s="73"/>
      <c r="AE22" s="21"/>
      <c r="AF22" s="36" t="s">
        <v>11</v>
      </c>
      <c r="AG22" s="36" t="s">
        <v>12</v>
      </c>
      <c r="AH22" s="36" t="s">
        <v>12</v>
      </c>
      <c r="AI22" s="36" t="s">
        <v>13</v>
      </c>
      <c r="AJ22" s="36" t="s">
        <v>14</v>
      </c>
      <c r="AK22" s="37" t="s">
        <v>15</v>
      </c>
      <c r="AM22" s="38" t="s">
        <v>11</v>
      </c>
      <c r="AN22" s="38" t="s">
        <v>12</v>
      </c>
      <c r="AO22" s="38" t="s">
        <v>12</v>
      </c>
      <c r="AP22" s="38" t="s">
        <v>13</v>
      </c>
      <c r="AQ22" s="38" t="s">
        <v>14</v>
      </c>
      <c r="AR22" s="39" t="s">
        <v>15</v>
      </c>
    </row>
    <row r="23" spans="1:44" ht="12" customHeight="1" thickBot="1" x14ac:dyDescent="0.25">
      <c r="A23" s="190" t="s">
        <v>72</v>
      </c>
      <c r="B23" s="277"/>
      <c r="C23" s="278"/>
      <c r="D23" s="190" t="s">
        <v>73</v>
      </c>
      <c r="E23" s="278"/>
      <c r="F23" s="190" t="s">
        <v>34</v>
      </c>
      <c r="G23" s="134"/>
      <c r="H23" s="135"/>
      <c r="I23" s="135"/>
      <c r="J23" s="135"/>
      <c r="K23" s="135"/>
      <c r="L23" s="140"/>
      <c r="M23" s="141"/>
      <c r="N23" s="178" t="s">
        <v>39</v>
      </c>
      <c r="O23" s="181">
        <v>42979</v>
      </c>
      <c r="P23" s="181">
        <v>42983</v>
      </c>
      <c r="Q23" s="184">
        <v>8</v>
      </c>
      <c r="R23" s="149"/>
      <c r="S23" s="126"/>
      <c r="T23" s="126"/>
      <c r="U23" s="150"/>
      <c r="V23" s="151">
        <f>+U23+1</f>
        <v>1</v>
      </c>
      <c r="W23" s="147">
        <f>+V23+1</f>
        <v>2</v>
      </c>
      <c r="X23" s="65"/>
      <c r="AA23" s="73"/>
      <c r="AB23" s="73"/>
      <c r="AC23" s="73"/>
      <c r="AE23" s="283">
        <f>AO26</f>
        <v>8</v>
      </c>
      <c r="AF23" s="40">
        <f t="shared" ref="AF23:AF37" si="0">CountCcolor(R23,ColorRef)</f>
        <v>0</v>
      </c>
      <c r="AG23" s="40">
        <f t="shared" ref="AG23:AG37" si="1">CountCcolor(S23,ColorRef)</f>
        <v>0</v>
      </c>
      <c r="AH23" s="40">
        <f t="shared" ref="AH23:AH37" si="2">CountCcolor(T23,ColorRef)</f>
        <v>0</v>
      </c>
      <c r="AI23" s="40">
        <f t="shared" ref="AI23:AI37" si="3">CountCcolor(U23,ColorRef)</f>
        <v>0</v>
      </c>
      <c r="AJ23" s="40">
        <f t="shared" ref="AJ23:AJ37" si="4">CountCcolor(V23,ColorRef)</f>
        <v>1</v>
      </c>
      <c r="AK23" s="41">
        <f t="shared" ref="AK23:AK37" si="5">CountCcolor(W23,ColorRef)</f>
        <v>0</v>
      </c>
      <c r="AL23" s="42"/>
      <c r="AM23" s="43">
        <f>G26-G24</f>
        <v>2</v>
      </c>
      <c r="AN23" s="43">
        <f t="shared" ref="AN23" si="6">H26-H24</f>
        <v>2</v>
      </c>
      <c r="AO23" s="43">
        <f t="shared" ref="AO23" si="7">I26-I24</f>
        <v>2</v>
      </c>
      <c r="AP23" s="43">
        <f t="shared" ref="AP23" si="8">J26-J24</f>
        <v>0</v>
      </c>
      <c r="AQ23" s="43">
        <f t="shared" ref="AQ23" si="9">K26-K24</f>
        <v>2</v>
      </c>
      <c r="AR23" s="43">
        <f t="shared" ref="AR23" si="10">L26-L24</f>
        <v>0</v>
      </c>
    </row>
    <row r="24" spans="1:44" ht="12" customHeight="1" thickBot="1" x14ac:dyDescent="0.25">
      <c r="A24" s="191"/>
      <c r="B24" s="279"/>
      <c r="C24" s="280"/>
      <c r="D24" s="191"/>
      <c r="E24" s="280"/>
      <c r="F24" s="191"/>
      <c r="G24" s="148">
        <v>8</v>
      </c>
      <c r="H24" s="148">
        <v>8</v>
      </c>
      <c r="I24" s="148">
        <v>8</v>
      </c>
      <c r="J24" s="130"/>
      <c r="K24" s="148">
        <v>8</v>
      </c>
      <c r="L24" s="136"/>
      <c r="M24" s="143"/>
      <c r="N24" s="179"/>
      <c r="O24" s="182"/>
      <c r="P24" s="182"/>
      <c r="Q24" s="185"/>
      <c r="R24" s="151">
        <f>+W23+2</f>
        <v>4</v>
      </c>
      <c r="S24" s="151">
        <f>+R24+1</f>
        <v>5</v>
      </c>
      <c r="T24" s="151">
        <f>+S24+1</f>
        <v>6</v>
      </c>
      <c r="U24" s="126">
        <f>+T24+1</f>
        <v>7</v>
      </c>
      <c r="V24" s="126">
        <f t="shared" ref="V24:V26" si="11">+U24+1</f>
        <v>8</v>
      </c>
      <c r="W24" s="126">
        <f t="shared" ref="W24:W26" si="12">+V24+1</f>
        <v>9</v>
      </c>
      <c r="X24" s="65"/>
      <c r="AA24" s="73"/>
      <c r="AB24" s="73"/>
      <c r="AC24" s="73"/>
      <c r="AE24" s="284"/>
      <c r="AF24" s="75">
        <f t="shared" si="0"/>
        <v>1</v>
      </c>
      <c r="AG24" s="44">
        <f t="shared" si="1"/>
        <v>1</v>
      </c>
      <c r="AH24" s="44">
        <f t="shared" si="2"/>
        <v>1</v>
      </c>
      <c r="AI24" s="44">
        <f t="shared" si="3"/>
        <v>0</v>
      </c>
      <c r="AJ24" s="44">
        <f t="shared" si="4"/>
        <v>0</v>
      </c>
      <c r="AK24" s="45">
        <f t="shared" si="5"/>
        <v>0</v>
      </c>
      <c r="AL24" s="42"/>
      <c r="AM24" s="43">
        <f>SUM(AF23:AF27)</f>
        <v>1</v>
      </c>
      <c r="AN24" s="43">
        <f t="shared" ref="AN24" si="13">SUM(AG23:AG27)</f>
        <v>1</v>
      </c>
      <c r="AO24" s="43">
        <f t="shared" ref="AO24" si="14">SUM(AH23:AH27)</f>
        <v>1</v>
      </c>
      <c r="AP24" s="43">
        <f t="shared" ref="AP24" si="15">SUM(AI23:AI27)</f>
        <v>0</v>
      </c>
      <c r="AQ24" s="43">
        <f t="shared" ref="AQ24" si="16">SUM(AJ23:AJ27)</f>
        <v>1</v>
      </c>
      <c r="AR24" s="43">
        <f t="shared" ref="AR24" si="17">SUM(AK23:AK27)</f>
        <v>0</v>
      </c>
    </row>
    <row r="25" spans="1:44" ht="12" customHeight="1" thickBot="1" x14ac:dyDescent="0.25">
      <c r="A25" s="191"/>
      <c r="B25" s="279"/>
      <c r="C25" s="280"/>
      <c r="D25" s="191"/>
      <c r="E25" s="280"/>
      <c r="F25" s="191"/>
      <c r="G25" s="148" t="s">
        <v>47</v>
      </c>
      <c r="H25" s="148" t="s">
        <v>47</v>
      </c>
      <c r="I25" s="148" t="s">
        <v>47</v>
      </c>
      <c r="J25" s="130"/>
      <c r="K25" s="148" t="s">
        <v>47</v>
      </c>
      <c r="L25" s="136"/>
      <c r="M25" s="143"/>
      <c r="N25" s="179"/>
      <c r="O25" s="182"/>
      <c r="P25" s="182"/>
      <c r="Q25" s="185"/>
      <c r="R25" s="120">
        <f>+W24+2</f>
        <v>11</v>
      </c>
      <c r="S25" s="126">
        <f t="shared" ref="S25:S26" si="18">+R25+1</f>
        <v>12</v>
      </c>
      <c r="T25" s="146">
        <f t="shared" ref="T25:T26" si="19">+S25+1</f>
        <v>13</v>
      </c>
      <c r="U25" s="126">
        <f t="shared" ref="U25:U26" si="20">+T25+1</f>
        <v>14</v>
      </c>
      <c r="V25" s="126">
        <f t="shared" si="11"/>
        <v>15</v>
      </c>
      <c r="W25" s="121">
        <f t="shared" si="12"/>
        <v>16</v>
      </c>
      <c r="X25" s="65"/>
      <c r="Y25" s="73"/>
      <c r="Z25" s="73"/>
      <c r="AA25" s="73"/>
      <c r="AB25" s="73"/>
      <c r="AC25" s="73"/>
      <c r="AE25" s="284"/>
      <c r="AF25" s="75">
        <f t="shared" si="0"/>
        <v>0</v>
      </c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5">
        <f t="shared" si="5"/>
        <v>0</v>
      </c>
      <c r="AL25" s="42"/>
      <c r="AM25" s="43">
        <f>AM24*AM23</f>
        <v>2</v>
      </c>
      <c r="AN25" s="43">
        <f t="shared" ref="AN25:AR25" si="21">AN24*AN23</f>
        <v>2</v>
      </c>
      <c r="AO25" s="43">
        <f t="shared" si="21"/>
        <v>2</v>
      </c>
      <c r="AP25" s="43">
        <f t="shared" si="21"/>
        <v>0</v>
      </c>
      <c r="AQ25" s="43">
        <f t="shared" si="21"/>
        <v>2</v>
      </c>
      <c r="AR25" s="43">
        <f t="shared" si="21"/>
        <v>0</v>
      </c>
    </row>
    <row r="26" spans="1:44" ht="12" customHeight="1" thickBot="1" x14ac:dyDescent="0.25">
      <c r="A26" s="191"/>
      <c r="B26" s="279"/>
      <c r="C26" s="280"/>
      <c r="D26" s="191"/>
      <c r="E26" s="280"/>
      <c r="F26" s="191"/>
      <c r="G26" s="148">
        <v>10</v>
      </c>
      <c r="H26" s="148">
        <v>10</v>
      </c>
      <c r="I26" s="148">
        <v>10</v>
      </c>
      <c r="J26" s="130"/>
      <c r="K26" s="148">
        <v>10</v>
      </c>
      <c r="L26" s="136"/>
      <c r="M26" s="143"/>
      <c r="N26" s="179"/>
      <c r="O26" s="182"/>
      <c r="P26" s="182"/>
      <c r="Q26" s="185"/>
      <c r="R26" s="126">
        <f>+W25+2</f>
        <v>18</v>
      </c>
      <c r="S26" s="126">
        <f t="shared" si="18"/>
        <v>19</v>
      </c>
      <c r="T26" s="146">
        <f t="shared" si="19"/>
        <v>20</v>
      </c>
      <c r="U26" s="126">
        <f t="shared" si="20"/>
        <v>21</v>
      </c>
      <c r="V26" s="126">
        <f t="shared" si="11"/>
        <v>22</v>
      </c>
      <c r="W26" s="121">
        <f t="shared" si="12"/>
        <v>23</v>
      </c>
      <c r="AE26" s="284"/>
      <c r="AF26" s="75">
        <f t="shared" si="0"/>
        <v>0</v>
      </c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5">
        <f t="shared" si="5"/>
        <v>0</v>
      </c>
      <c r="AL26" s="42"/>
      <c r="AM26" s="43"/>
      <c r="AN26" s="43"/>
      <c r="AO26" s="46">
        <f>SUM(AM25:AR25)</f>
        <v>8</v>
      </c>
      <c r="AP26" s="43"/>
      <c r="AQ26" s="43"/>
      <c r="AR26" s="43"/>
    </row>
    <row r="27" spans="1:44" ht="13.5" customHeight="1" thickBot="1" x14ac:dyDescent="0.25">
      <c r="A27" s="192"/>
      <c r="B27" s="281"/>
      <c r="C27" s="282"/>
      <c r="D27" s="192"/>
      <c r="E27" s="282"/>
      <c r="F27" s="192"/>
      <c r="G27" s="137"/>
      <c r="H27" s="138"/>
      <c r="I27" s="138"/>
      <c r="J27" s="138"/>
      <c r="K27" s="138"/>
      <c r="L27" s="139"/>
      <c r="M27" s="144"/>
      <c r="N27" s="180"/>
      <c r="O27" s="183"/>
      <c r="P27" s="183"/>
      <c r="Q27" s="186"/>
      <c r="R27" s="122">
        <f>+W26+2</f>
        <v>25</v>
      </c>
      <c r="S27" s="122">
        <f>+R27+1</f>
        <v>26</v>
      </c>
      <c r="T27" s="122">
        <f>+S27+1</f>
        <v>27</v>
      </c>
      <c r="U27" s="122">
        <f>+T27+1</f>
        <v>28</v>
      </c>
      <c r="V27" s="131"/>
      <c r="W27" s="132"/>
      <c r="AE27" s="285"/>
      <c r="AF27" s="47">
        <f t="shared" si="0"/>
        <v>0</v>
      </c>
      <c r="AG27" s="47">
        <f t="shared" si="1"/>
        <v>0</v>
      </c>
      <c r="AH27" s="47">
        <f t="shared" si="2"/>
        <v>0</v>
      </c>
      <c r="AI27" s="47">
        <f t="shared" si="3"/>
        <v>0</v>
      </c>
      <c r="AJ27" s="47">
        <f t="shared" si="4"/>
        <v>0</v>
      </c>
      <c r="AK27" s="48">
        <f t="shared" si="5"/>
        <v>0</v>
      </c>
      <c r="AL27" s="42"/>
      <c r="AM27" s="43"/>
      <c r="AN27" s="43"/>
      <c r="AO27" s="43"/>
      <c r="AP27" s="43"/>
      <c r="AQ27" s="43"/>
      <c r="AR27" s="43"/>
    </row>
    <row r="28" spans="1:44" ht="12" customHeight="1" thickBot="1" x14ac:dyDescent="0.25">
      <c r="A28" s="190"/>
      <c r="B28" s="277"/>
      <c r="C28" s="278"/>
      <c r="D28" s="190"/>
      <c r="E28" s="278"/>
      <c r="F28" s="190"/>
      <c r="G28" s="134"/>
      <c r="H28" s="135"/>
      <c r="I28" s="135"/>
      <c r="J28" s="135"/>
      <c r="K28" s="135"/>
      <c r="L28" s="140"/>
      <c r="M28" s="141"/>
      <c r="N28" s="178"/>
      <c r="O28" s="181"/>
      <c r="P28" s="181"/>
      <c r="Q28" s="184"/>
      <c r="R28" s="149"/>
      <c r="S28" s="126"/>
      <c r="T28" s="126"/>
      <c r="U28" s="150"/>
      <c r="V28" s="125"/>
      <c r="W28" s="147"/>
      <c r="X28" s="65"/>
      <c r="AA28" s="73"/>
      <c r="AB28" s="73"/>
      <c r="AC28" s="73"/>
      <c r="AE28" s="283">
        <f>AO31</f>
        <v>0</v>
      </c>
      <c r="AF28" s="40">
        <f t="shared" si="0"/>
        <v>0</v>
      </c>
      <c r="AG28" s="40">
        <f t="shared" si="1"/>
        <v>0</v>
      </c>
      <c r="AH28" s="40">
        <f t="shared" si="2"/>
        <v>0</v>
      </c>
      <c r="AI28" s="40">
        <f t="shared" si="3"/>
        <v>0</v>
      </c>
      <c r="AJ28" s="40">
        <f t="shared" si="4"/>
        <v>0</v>
      </c>
      <c r="AK28" s="41">
        <f t="shared" si="5"/>
        <v>0</v>
      </c>
      <c r="AL28" s="42"/>
      <c r="AM28" s="43">
        <f>G31-G29</f>
        <v>0</v>
      </c>
      <c r="AN28" s="43">
        <f t="shared" ref="AN28" si="22">H31-H29</f>
        <v>0</v>
      </c>
      <c r="AO28" s="43">
        <f t="shared" ref="AO28" si="23">I31-I29</f>
        <v>0</v>
      </c>
      <c r="AP28" s="43">
        <f t="shared" ref="AP28" si="24">J31-J29</f>
        <v>0</v>
      </c>
      <c r="AQ28" s="43">
        <f t="shared" ref="AQ28" si="25">K31-K29</f>
        <v>0</v>
      </c>
      <c r="AR28" s="43">
        <f t="shared" ref="AR28" si="26">L31-L29</f>
        <v>0</v>
      </c>
    </row>
    <row r="29" spans="1:44" ht="12" customHeight="1" thickBot="1" x14ac:dyDescent="0.25">
      <c r="A29" s="191"/>
      <c r="B29" s="279"/>
      <c r="C29" s="280"/>
      <c r="D29" s="191"/>
      <c r="E29" s="280"/>
      <c r="F29" s="191"/>
      <c r="G29" s="148"/>
      <c r="H29" s="148"/>
      <c r="I29" s="148"/>
      <c r="J29" s="130"/>
      <c r="K29" s="142"/>
      <c r="L29" s="136"/>
      <c r="M29" s="143"/>
      <c r="N29" s="179"/>
      <c r="O29" s="182"/>
      <c r="P29" s="182"/>
      <c r="Q29" s="185"/>
      <c r="R29" s="126"/>
      <c r="S29" s="146"/>
      <c r="T29" s="146"/>
      <c r="U29" s="126"/>
      <c r="V29" s="126"/>
      <c r="W29" s="126"/>
      <c r="X29" s="65"/>
      <c r="AA29" s="73"/>
      <c r="AB29" s="73"/>
      <c r="AC29" s="73"/>
      <c r="AE29" s="284"/>
      <c r="AF29" s="75">
        <f t="shared" si="0"/>
        <v>0</v>
      </c>
      <c r="AG29" s="75">
        <f t="shared" si="1"/>
        <v>0</v>
      </c>
      <c r="AH29" s="75">
        <f t="shared" si="2"/>
        <v>0</v>
      </c>
      <c r="AI29" s="75">
        <f t="shared" si="3"/>
        <v>0</v>
      </c>
      <c r="AJ29" s="75">
        <f t="shared" si="4"/>
        <v>0</v>
      </c>
      <c r="AK29" s="45">
        <f t="shared" si="5"/>
        <v>0</v>
      </c>
      <c r="AL29" s="42"/>
      <c r="AM29" s="43">
        <f>SUM(AF28:AF32)</f>
        <v>0</v>
      </c>
      <c r="AN29" s="43">
        <f t="shared" ref="AN29" si="27">SUM(AG28:AG32)</f>
        <v>0</v>
      </c>
      <c r="AO29" s="43">
        <f t="shared" ref="AO29" si="28">SUM(AH28:AH32)</f>
        <v>0</v>
      </c>
      <c r="AP29" s="43">
        <f t="shared" ref="AP29" si="29">SUM(AI28:AI32)</f>
        <v>0</v>
      </c>
      <c r="AQ29" s="43">
        <f t="shared" ref="AQ29" si="30">SUM(AJ28:AJ32)</f>
        <v>0</v>
      </c>
      <c r="AR29" s="43">
        <f t="shared" ref="AR29" si="31">SUM(AK28:AK32)</f>
        <v>0</v>
      </c>
    </row>
    <row r="30" spans="1:44" ht="12" customHeight="1" thickBot="1" x14ac:dyDescent="0.25">
      <c r="A30" s="191"/>
      <c r="B30" s="279"/>
      <c r="C30" s="280"/>
      <c r="D30" s="191"/>
      <c r="E30" s="280"/>
      <c r="F30" s="191"/>
      <c r="G30" s="148"/>
      <c r="H30" s="148"/>
      <c r="I30" s="148"/>
      <c r="J30" s="130"/>
      <c r="K30" s="142"/>
      <c r="L30" s="136"/>
      <c r="M30" s="143"/>
      <c r="N30" s="179"/>
      <c r="O30" s="182"/>
      <c r="P30" s="182"/>
      <c r="Q30" s="185"/>
      <c r="R30" s="120"/>
      <c r="S30" s="126"/>
      <c r="T30" s="146"/>
      <c r="U30" s="126"/>
      <c r="V30" s="126"/>
      <c r="W30" s="121"/>
      <c r="X30" s="65"/>
      <c r="Y30" s="73"/>
      <c r="Z30" s="73"/>
      <c r="AA30" s="73"/>
      <c r="AB30" s="73"/>
      <c r="AC30" s="73"/>
      <c r="AE30" s="284"/>
      <c r="AF30" s="75">
        <f t="shared" si="0"/>
        <v>0</v>
      </c>
      <c r="AG30" s="75">
        <f t="shared" si="1"/>
        <v>0</v>
      </c>
      <c r="AH30" s="75">
        <f t="shared" si="2"/>
        <v>0</v>
      </c>
      <c r="AI30" s="75">
        <f t="shared" si="3"/>
        <v>0</v>
      </c>
      <c r="AJ30" s="75">
        <f t="shared" si="4"/>
        <v>0</v>
      </c>
      <c r="AK30" s="45">
        <f t="shared" si="5"/>
        <v>0</v>
      </c>
      <c r="AL30" s="42"/>
      <c r="AM30" s="43">
        <f>AM29*AM28</f>
        <v>0</v>
      </c>
      <c r="AN30" s="43">
        <f t="shared" ref="AN30:AR30" si="32">AN29*AN28</f>
        <v>0</v>
      </c>
      <c r="AO30" s="43">
        <f t="shared" si="32"/>
        <v>0</v>
      </c>
      <c r="AP30" s="43">
        <f t="shared" si="32"/>
        <v>0</v>
      </c>
      <c r="AQ30" s="43">
        <f t="shared" si="32"/>
        <v>0</v>
      </c>
      <c r="AR30" s="43">
        <f t="shared" si="32"/>
        <v>0</v>
      </c>
    </row>
    <row r="31" spans="1:44" ht="12" customHeight="1" thickBot="1" x14ac:dyDescent="0.25">
      <c r="A31" s="191"/>
      <c r="B31" s="279"/>
      <c r="C31" s="280"/>
      <c r="D31" s="191"/>
      <c r="E31" s="280"/>
      <c r="F31" s="191"/>
      <c r="G31" s="148"/>
      <c r="H31" s="148"/>
      <c r="I31" s="148"/>
      <c r="J31" s="130"/>
      <c r="K31" s="130"/>
      <c r="L31" s="136"/>
      <c r="M31" s="143"/>
      <c r="N31" s="179"/>
      <c r="O31" s="182"/>
      <c r="P31" s="182"/>
      <c r="Q31" s="185"/>
      <c r="R31" s="126"/>
      <c r="S31" s="126"/>
      <c r="T31" s="146"/>
      <c r="U31" s="126"/>
      <c r="V31" s="126"/>
      <c r="W31" s="121"/>
      <c r="AE31" s="284"/>
      <c r="AF31" s="75">
        <f t="shared" si="0"/>
        <v>0</v>
      </c>
      <c r="AG31" s="75">
        <f t="shared" si="1"/>
        <v>0</v>
      </c>
      <c r="AH31" s="75">
        <f t="shared" si="2"/>
        <v>0</v>
      </c>
      <c r="AI31" s="75">
        <f t="shared" si="3"/>
        <v>0</v>
      </c>
      <c r="AJ31" s="75">
        <f t="shared" si="4"/>
        <v>0</v>
      </c>
      <c r="AK31" s="45">
        <f t="shared" si="5"/>
        <v>0</v>
      </c>
      <c r="AL31" s="42"/>
      <c r="AM31" s="43"/>
      <c r="AN31" s="43"/>
      <c r="AO31" s="46">
        <f>SUM(AM30:AR30)</f>
        <v>0</v>
      </c>
      <c r="AP31" s="43"/>
      <c r="AQ31" s="43"/>
      <c r="AR31" s="43"/>
    </row>
    <row r="32" spans="1:44" ht="13.5" thickBot="1" x14ac:dyDescent="0.25">
      <c r="A32" s="192"/>
      <c r="B32" s="281"/>
      <c r="C32" s="282"/>
      <c r="D32" s="192"/>
      <c r="E32" s="282"/>
      <c r="F32" s="192"/>
      <c r="G32" s="137"/>
      <c r="H32" s="138"/>
      <c r="I32" s="138"/>
      <c r="J32" s="138"/>
      <c r="K32" s="138"/>
      <c r="L32" s="139"/>
      <c r="M32" s="144"/>
      <c r="N32" s="180"/>
      <c r="O32" s="183"/>
      <c r="P32" s="183"/>
      <c r="Q32" s="186"/>
      <c r="R32" s="122"/>
      <c r="S32" s="131"/>
      <c r="T32" s="131"/>
      <c r="U32" s="131"/>
      <c r="V32" s="131"/>
      <c r="W32" s="132"/>
      <c r="AE32" s="285"/>
      <c r="AF32" s="47">
        <f t="shared" si="0"/>
        <v>0</v>
      </c>
      <c r="AG32" s="47">
        <f t="shared" si="1"/>
        <v>0</v>
      </c>
      <c r="AH32" s="47">
        <f t="shared" si="2"/>
        <v>0</v>
      </c>
      <c r="AI32" s="47">
        <f t="shared" si="3"/>
        <v>0</v>
      </c>
      <c r="AJ32" s="47">
        <f t="shared" si="4"/>
        <v>0</v>
      </c>
      <c r="AK32" s="48">
        <f t="shared" si="5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68"/>
      <c r="B33" s="269"/>
      <c r="C33" s="270"/>
      <c r="D33" s="268"/>
      <c r="E33" s="270"/>
      <c r="F33" s="268"/>
      <c r="G33" s="80"/>
      <c r="H33" s="18"/>
      <c r="I33" s="18"/>
      <c r="J33" s="18"/>
      <c r="K33" s="18"/>
      <c r="L33" s="115"/>
      <c r="M33" s="111"/>
      <c r="N33" s="169"/>
      <c r="O33" s="166"/>
      <c r="P33" s="166"/>
      <c r="Q33" s="163"/>
      <c r="R33" s="13"/>
      <c r="S33" s="9"/>
      <c r="T33" s="9"/>
      <c r="U33" s="9"/>
      <c r="V33" s="9"/>
      <c r="W33" s="10"/>
      <c r="X33" s="65"/>
      <c r="AA33" s="73"/>
      <c r="AB33" s="73"/>
      <c r="AC33" s="73"/>
      <c r="AE33" s="283">
        <f>AO36</f>
        <v>0</v>
      </c>
      <c r="AF33" s="40">
        <f t="shared" si="0"/>
        <v>0</v>
      </c>
      <c r="AG33" s="40">
        <f t="shared" si="1"/>
        <v>0</v>
      </c>
      <c r="AH33" s="40">
        <f t="shared" si="2"/>
        <v>0</v>
      </c>
      <c r="AI33" s="40">
        <f t="shared" si="3"/>
        <v>0</v>
      </c>
      <c r="AJ33" s="40">
        <f t="shared" si="4"/>
        <v>0</v>
      </c>
      <c r="AK33" s="41">
        <f t="shared" si="5"/>
        <v>0</v>
      </c>
      <c r="AL33" s="42"/>
      <c r="AM33" s="43">
        <f>G36-G34</f>
        <v>0</v>
      </c>
      <c r="AN33" s="43">
        <f t="shared" ref="AN33" si="33">H36-H34</f>
        <v>0</v>
      </c>
      <c r="AO33" s="43">
        <f t="shared" ref="AO33" si="34">I36-I34</f>
        <v>0</v>
      </c>
      <c r="AP33" s="43">
        <f t="shared" ref="AP33" si="35">J36-J34</f>
        <v>0</v>
      </c>
      <c r="AQ33" s="43">
        <f t="shared" ref="AQ33" si="36">K36-K34</f>
        <v>0</v>
      </c>
      <c r="AR33" s="43">
        <f t="shared" ref="AR33" si="37">L36-L34</f>
        <v>0</v>
      </c>
    </row>
    <row r="34" spans="1:44" ht="12" customHeight="1" thickBot="1" x14ac:dyDescent="0.25">
      <c r="A34" s="271"/>
      <c r="B34" s="272"/>
      <c r="C34" s="273"/>
      <c r="D34" s="271"/>
      <c r="E34" s="273"/>
      <c r="F34" s="271"/>
      <c r="G34" s="81"/>
      <c r="H34" s="17"/>
      <c r="I34" s="17"/>
      <c r="J34" s="17"/>
      <c r="K34" s="17"/>
      <c r="L34" s="114"/>
      <c r="M34" s="112"/>
      <c r="N34" s="170"/>
      <c r="O34" s="167"/>
      <c r="P34" s="167"/>
      <c r="Q34" s="164"/>
      <c r="R34" s="116"/>
      <c r="S34" s="117"/>
      <c r="T34" s="117"/>
      <c r="U34" s="7"/>
      <c r="V34" s="7"/>
      <c r="W34" s="8"/>
      <c r="X34" s="65"/>
      <c r="AA34" s="73"/>
      <c r="AB34" s="73"/>
      <c r="AC34" s="73"/>
      <c r="AE34" s="284"/>
      <c r="AF34" s="75">
        <f t="shared" si="0"/>
        <v>0</v>
      </c>
      <c r="AG34" s="75">
        <f t="shared" si="1"/>
        <v>0</v>
      </c>
      <c r="AH34" s="75">
        <f t="shared" si="2"/>
        <v>0</v>
      </c>
      <c r="AI34" s="75">
        <f t="shared" si="3"/>
        <v>0</v>
      </c>
      <c r="AJ34" s="75">
        <f t="shared" si="4"/>
        <v>0</v>
      </c>
      <c r="AK34" s="45">
        <f t="shared" si="5"/>
        <v>0</v>
      </c>
      <c r="AL34" s="42"/>
      <c r="AM34" s="43">
        <f>SUM(AF33:AF37)</f>
        <v>0</v>
      </c>
      <c r="AN34" s="43">
        <f t="shared" ref="AN34" si="38">SUM(AG33:AG37)</f>
        <v>0</v>
      </c>
      <c r="AO34" s="43">
        <f t="shared" ref="AO34" si="39">SUM(AH33:AH37)</f>
        <v>0</v>
      </c>
      <c r="AP34" s="43">
        <f t="shared" ref="AP34" si="40">SUM(AI33:AI37)</f>
        <v>0</v>
      </c>
      <c r="AQ34" s="43">
        <f t="shared" ref="AQ34" si="41">SUM(AJ33:AJ37)</f>
        <v>0</v>
      </c>
      <c r="AR34" s="43">
        <f t="shared" ref="AR34" si="42">SUM(AK33:AK37)</f>
        <v>0</v>
      </c>
    </row>
    <row r="35" spans="1:44" ht="12" customHeight="1" thickBot="1" x14ac:dyDescent="0.25">
      <c r="A35" s="271"/>
      <c r="B35" s="272"/>
      <c r="C35" s="273"/>
      <c r="D35" s="271"/>
      <c r="E35" s="273"/>
      <c r="F35" s="271"/>
      <c r="G35" s="81"/>
      <c r="H35" s="17"/>
      <c r="I35" s="17"/>
      <c r="J35" s="17"/>
      <c r="K35" s="17"/>
      <c r="L35" s="114"/>
      <c r="M35" s="112"/>
      <c r="N35" s="170"/>
      <c r="O35" s="167"/>
      <c r="P35" s="167"/>
      <c r="Q35" s="164"/>
      <c r="R35" s="116"/>
      <c r="S35" s="117"/>
      <c r="T35" s="117"/>
      <c r="U35" s="7"/>
      <c r="V35" s="7"/>
      <c r="W35" s="8"/>
      <c r="X35" s="65"/>
      <c r="Y35" s="73"/>
      <c r="Z35" s="73"/>
      <c r="AA35" s="73"/>
      <c r="AB35" s="73"/>
      <c r="AC35" s="73"/>
      <c r="AE35" s="284"/>
      <c r="AF35" s="75">
        <f t="shared" si="0"/>
        <v>0</v>
      </c>
      <c r="AG35" s="75">
        <f t="shared" si="1"/>
        <v>0</v>
      </c>
      <c r="AH35" s="75">
        <f t="shared" si="2"/>
        <v>0</v>
      </c>
      <c r="AI35" s="75">
        <f t="shared" si="3"/>
        <v>0</v>
      </c>
      <c r="AJ35" s="75">
        <f t="shared" si="4"/>
        <v>0</v>
      </c>
      <c r="AK35" s="45">
        <f t="shared" si="5"/>
        <v>0</v>
      </c>
      <c r="AL35" s="42"/>
      <c r="AM35" s="43">
        <f>AM34*AM33</f>
        <v>0</v>
      </c>
      <c r="AN35" s="43">
        <f t="shared" ref="AN35:AR35" si="43">AN34*AN33</f>
        <v>0</v>
      </c>
      <c r="AO35" s="43">
        <f t="shared" si="43"/>
        <v>0</v>
      </c>
      <c r="AP35" s="43">
        <f t="shared" si="43"/>
        <v>0</v>
      </c>
      <c r="AQ35" s="43">
        <f t="shared" si="43"/>
        <v>0</v>
      </c>
      <c r="AR35" s="43">
        <f t="shared" si="43"/>
        <v>0</v>
      </c>
    </row>
    <row r="36" spans="1:44" ht="12" customHeight="1" thickBot="1" x14ac:dyDescent="0.25">
      <c r="A36" s="271"/>
      <c r="B36" s="272"/>
      <c r="C36" s="273"/>
      <c r="D36" s="271"/>
      <c r="E36" s="273"/>
      <c r="F36" s="271"/>
      <c r="G36" s="81"/>
      <c r="H36" s="17"/>
      <c r="I36" s="17"/>
      <c r="J36" s="17"/>
      <c r="K36" s="17"/>
      <c r="L36" s="114"/>
      <c r="M36" s="112"/>
      <c r="N36" s="170"/>
      <c r="O36" s="167"/>
      <c r="P36" s="167"/>
      <c r="Q36" s="164"/>
      <c r="R36" s="116"/>
      <c r="S36" s="117"/>
      <c r="T36" s="117"/>
      <c r="U36" s="1"/>
      <c r="V36" s="1"/>
      <c r="W36" s="8"/>
      <c r="AE36" s="284"/>
      <c r="AF36" s="75">
        <f t="shared" si="0"/>
        <v>0</v>
      </c>
      <c r="AG36" s="75">
        <f t="shared" si="1"/>
        <v>0</v>
      </c>
      <c r="AH36" s="75">
        <f t="shared" si="2"/>
        <v>0</v>
      </c>
      <c r="AI36" s="75">
        <f t="shared" si="3"/>
        <v>0</v>
      </c>
      <c r="AJ36" s="75">
        <f t="shared" si="4"/>
        <v>0</v>
      </c>
      <c r="AK36" s="45">
        <f t="shared" si="5"/>
        <v>0</v>
      </c>
      <c r="AL36" s="42"/>
      <c r="AM36" s="43"/>
      <c r="AN36" s="43"/>
      <c r="AO36" s="46">
        <f>SUM(AM35:AR35)</f>
        <v>0</v>
      </c>
      <c r="AP36" s="43"/>
      <c r="AQ36" s="43"/>
      <c r="AR36" s="43"/>
    </row>
    <row r="37" spans="1:44" ht="13.5" thickBot="1" x14ac:dyDescent="0.25">
      <c r="A37" s="274"/>
      <c r="B37" s="275"/>
      <c r="C37" s="276"/>
      <c r="D37" s="274"/>
      <c r="E37" s="276"/>
      <c r="F37" s="274"/>
      <c r="G37" s="82"/>
      <c r="H37" s="19"/>
      <c r="I37" s="19"/>
      <c r="J37" s="19"/>
      <c r="K37" s="19"/>
      <c r="L37" s="110"/>
      <c r="M37" s="113"/>
      <c r="N37" s="171"/>
      <c r="O37" s="168"/>
      <c r="P37" s="168"/>
      <c r="Q37" s="165"/>
      <c r="R37" s="118"/>
      <c r="S37" s="119"/>
      <c r="T37" s="119"/>
      <c r="U37" s="2"/>
      <c r="V37" s="2"/>
      <c r="W37" s="11"/>
      <c r="AE37" s="285"/>
      <c r="AF37" s="47">
        <f t="shared" si="0"/>
        <v>0</v>
      </c>
      <c r="AG37" s="47">
        <f t="shared" si="1"/>
        <v>0</v>
      </c>
      <c r="AH37" s="47">
        <f t="shared" si="2"/>
        <v>0</v>
      </c>
      <c r="AI37" s="47">
        <f t="shared" si="3"/>
        <v>0</v>
      </c>
      <c r="AJ37" s="47">
        <f t="shared" si="4"/>
        <v>0</v>
      </c>
      <c r="AK37" s="48">
        <f t="shared" si="5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162"/>
      <c r="B38" s="162"/>
      <c r="C38" s="162"/>
      <c r="D38" s="162"/>
      <c r="E38" s="162"/>
      <c r="F38" s="162"/>
      <c r="G38" s="156" t="s">
        <v>33</v>
      </c>
      <c r="H38" s="157"/>
      <c r="I38" s="157"/>
      <c r="J38" s="157"/>
      <c r="K38" s="157"/>
      <c r="L38" s="157"/>
      <c r="M38" s="157"/>
      <c r="N38" s="157"/>
      <c r="O38" s="157"/>
      <c r="P38" s="161"/>
      <c r="Q38" s="50">
        <f>SUM(Q23:Q37)</f>
        <v>8</v>
      </c>
      <c r="R38" s="61"/>
      <c r="S38" s="61"/>
      <c r="T38" s="61"/>
      <c r="U38" s="61"/>
      <c r="V38" s="61"/>
      <c r="W38" s="62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9"/>
      <c r="AN38" s="49"/>
      <c r="AO38" s="49"/>
      <c r="AP38" s="49"/>
    </row>
    <row r="39" spans="1:44" ht="32.25" customHeight="1" thickBot="1" x14ac:dyDescent="0.25">
      <c r="A39" s="5"/>
      <c r="B39" s="5"/>
      <c r="C39" s="5"/>
      <c r="E39" s="5"/>
      <c r="F39" s="5"/>
      <c r="G39" s="153" t="s">
        <v>48</v>
      </c>
      <c r="H39" s="154"/>
      <c r="I39" s="154"/>
      <c r="J39" s="154"/>
      <c r="K39" s="154"/>
      <c r="L39" s="154"/>
      <c r="M39" s="154"/>
      <c r="N39" s="154"/>
      <c r="O39" s="154"/>
      <c r="P39" s="155"/>
      <c r="Q39" s="64">
        <f>Q38+P18</f>
        <v>8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45"/>
    </row>
  </sheetData>
  <mergeCells count="89">
    <mergeCell ref="Y2:Z2"/>
    <mergeCell ref="A33:C37"/>
    <mergeCell ref="D33:E37"/>
    <mergeCell ref="A28:C32"/>
    <mergeCell ref="D28:E32"/>
    <mergeCell ref="F28:F32"/>
    <mergeCell ref="AE28:AE32"/>
    <mergeCell ref="A23:C27"/>
    <mergeCell ref="D23:E27"/>
    <mergeCell ref="D21:E22"/>
    <mergeCell ref="A21:C22"/>
    <mergeCell ref="D3:F3"/>
    <mergeCell ref="D4:F7"/>
    <mergeCell ref="F33:F37"/>
    <mergeCell ref="Z10:AC11"/>
    <mergeCell ref="AE13:AE17"/>
    <mergeCell ref="AE23:AE27"/>
    <mergeCell ref="AE33:AE37"/>
    <mergeCell ref="Z13:Z17"/>
    <mergeCell ref="G4:M4"/>
    <mergeCell ref="G5:M5"/>
    <mergeCell ref="G6:M6"/>
    <mergeCell ref="N3:U3"/>
    <mergeCell ref="V3:W3"/>
    <mergeCell ref="G3:M3"/>
    <mergeCell ref="N4:U4"/>
    <mergeCell ref="N5:U5"/>
    <mergeCell ref="N6:U6"/>
    <mergeCell ref="AA13:AA17"/>
    <mergeCell ref="AB13:AB17"/>
    <mergeCell ref="AC13:AC17"/>
    <mergeCell ref="O21:O22"/>
    <mergeCell ref="R10:W11"/>
    <mergeCell ref="Q10:Q11"/>
    <mergeCell ref="P10:P11"/>
    <mergeCell ref="N10:N11"/>
    <mergeCell ref="O10:O11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A9:Y9"/>
    <mergeCell ref="X10:Y11"/>
    <mergeCell ref="X12:Y12"/>
    <mergeCell ref="A10:A11"/>
    <mergeCell ref="N13:N17"/>
    <mergeCell ref="X13:X17"/>
    <mergeCell ref="F16:F17"/>
    <mergeCell ref="E13:E17"/>
    <mergeCell ref="E10:E11"/>
    <mergeCell ref="F13:F14"/>
    <mergeCell ref="G39:P39"/>
    <mergeCell ref="G18:O18"/>
    <mergeCell ref="A20:W20"/>
    <mergeCell ref="G38:P38"/>
    <mergeCell ref="A38:F38"/>
    <mergeCell ref="Q33:Q37"/>
    <mergeCell ref="P33:P37"/>
    <mergeCell ref="N33:N37"/>
    <mergeCell ref="O33:O37"/>
    <mergeCell ref="Q21:Q22"/>
    <mergeCell ref="G21:L21"/>
    <mergeCell ref="P21:P22"/>
    <mergeCell ref="F21:F22"/>
    <mergeCell ref="N28:N32"/>
    <mergeCell ref="O28:O32"/>
    <mergeCell ref="P28:P32"/>
    <mergeCell ref="Q28:Q32"/>
    <mergeCell ref="P23:P27"/>
    <mergeCell ref="Q23:Q27"/>
    <mergeCell ref="O23:O27"/>
    <mergeCell ref="R21:W21"/>
    <mergeCell ref="N23:N27"/>
    <mergeCell ref="F23:F27"/>
    <mergeCell ref="N21:N22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Agosto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Agosto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2017-09-12T16:20:23Z</dcterms:modified>
</cp:coreProperties>
</file>